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\Downloads\2026年电工杯竞赛赛题\A题\code_solution_v2\results\"/>
    </mc:Choice>
  </mc:AlternateContent>
  <xr:revisionPtr revIDLastSave="0" documentId="13_ncr:1_{DAFCA58C-1452-4E91-B976-C1E0679C8720}" xr6:coauthVersionLast="47" xr6:coauthVersionMax="47" xr10:uidLastSave="{00000000-0000-0000-0000-000000000000}"/>
  <bookViews>
    <workbookView xWindow="-98" yWindow="-98" windowWidth="21795" windowHeight="11625" activeTab="3" xr2:uid="{00000000-000D-0000-FFFF-FFFF00000000}"/>
  </bookViews>
  <sheets>
    <sheet name="Q1场景结果" sheetId="1" r:id="rId1"/>
    <sheet name="Q2结果" sheetId="2" r:id="rId2"/>
    <sheet name="Q3结果" sheetId="3" r:id="rId3"/>
    <sheet name="Q4结果" sheetId="4" r:id="rId4"/>
    <sheet name="Q5敏感性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4" l="1"/>
  <c r="M26" i="4"/>
</calcChain>
</file>

<file path=xl/sharedStrings.xml><?xml version="1.0" encoding="utf-8"?>
<sst xmlns="http://schemas.openxmlformats.org/spreadsheetml/2006/main" count="652" uniqueCount="106">
  <si>
    <t>场景编号</t>
  </si>
  <si>
    <t>风电场景</t>
  </si>
  <si>
    <t>光伏场景</t>
  </si>
  <si>
    <t>典型日用电量(MWh)</t>
  </si>
  <si>
    <t>新能源发电量(MWh)</t>
  </si>
  <si>
    <t>网购电量(MWh)</t>
  </si>
  <si>
    <t>上网电量(MWh)</t>
  </si>
  <si>
    <t>新能源自发自用电量占比(%)</t>
  </si>
  <si>
    <t>总用电量绿电比例(%)</t>
  </si>
  <si>
    <t>新能源上网电量比例(%)</t>
  </si>
  <si>
    <t>吨氨成本(元/吨)</t>
  </si>
  <si>
    <t>自消纳达标</t>
  </si>
  <si>
    <t>绿电比例达标</t>
  </si>
  <si>
    <t>上网比例达标</t>
  </si>
  <si>
    <t>自消纳裕度(百分点)</t>
  </si>
  <si>
    <t>绿电裕度(百分点)</t>
  </si>
  <si>
    <t>上网裕度(百分点)</t>
  </si>
  <si>
    <t>三分类</t>
  </si>
  <si>
    <t>1</t>
  </si>
  <si>
    <t>部分满足</t>
  </si>
  <si>
    <t>2</t>
  </si>
  <si>
    <t>3</t>
  </si>
  <si>
    <t>全满足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</si>
  <si>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</si>
  <si>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</si>
  <si>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</si>
  <si>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</si>
  <si>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</si>
  <si>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</si>
  <si>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</si>
  <si>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</si>
  <si>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</si>
  <si>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</si>
  <si>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</si>
  <si>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</si>
  <si>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</si>
  <si>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</si>
  <si>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</si>
  <si>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</si>
  <si>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</si>
  <si>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</si>
  <si>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</si>
  <si>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</si>
  <si>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</si>
  <si>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年度汇总</t>
  </si>
  <si>
    <t>全满足:14场景(210天,58.3%); 部分满足:10场景(150天,41.7%); 全不满足:0场景(0天,0.0%)</t>
  </si>
  <si>
    <t>年度加权平均</t>
  </si>
  <si>
    <t>日产量目标(吨)</t>
  </si>
  <si>
    <t>运行成本(元)</t>
  </si>
  <si>
    <t>状态</t>
  </si>
  <si>
    <t>日购电量(MWh)</t>
  </si>
  <si>
    <t>日售电量(MWh)</t>
  </si>
  <si>
    <t>ALK总功率(MW)</t>
  </si>
  <si>
    <t>PEM总功率(MW)</t>
  </si>
  <si>
    <t>NH3总功率(MW)</t>
  </si>
  <si>
    <t>不可行</t>
  </si>
  <si>
    <t>最优</t>
  </si>
  <si>
    <t>档位72t汇总</t>
  </si>
  <si>
    <t>共24场景</t>
  </si>
  <si>
    <t>全满足0场景(0天) | 部分满足0场景(0天) | 全不满足0场景(0天) | 不可行24场景(360天)</t>
  </si>
  <si>
    <t>档位63t汇总</t>
  </si>
  <si>
    <t>档位54t汇总</t>
  </si>
  <si>
    <t>档位45t汇总</t>
  </si>
  <si>
    <t>档位36t汇总</t>
  </si>
  <si>
    <t>全满足14场景(210天) | 部分满足10场景(150天) | 全不满足0场景(0天) | 不可行0场景(0天)</t>
  </si>
  <si>
    <t>日ALK耗电量(MWh)</t>
  </si>
  <si>
    <t>日PEM耗电量(MWh)</t>
  </si>
  <si>
    <t>日NH3耗电量(MWh)</t>
  </si>
  <si>
    <t>聚类标签</t>
  </si>
  <si>
    <t>模态名称</t>
  </si>
  <si>
    <t>低成本-低自用-高绿电型</t>
  </si>
  <si>
    <t>低绿电-低电网-高购电型</t>
  </si>
  <si>
    <t>全满足18场景(270天) | 部分满足6场景(90天) | 全不满足0场景(0天) | 不可行0场景(0天)</t>
  </si>
  <si>
    <t>共24场景，24个最优</t>
  </si>
  <si>
    <t>储能容量(MWh)</t>
  </si>
  <si>
    <t>储能功率(MW)</t>
  </si>
  <si>
    <t>年化投资成本(元)</t>
  </si>
  <si>
    <t>年运行成本(元)</t>
  </si>
  <si>
    <t>TAC(元)</t>
  </si>
  <si>
    <t>日制氨量(吨)</t>
  </si>
  <si>
    <t>SOC_0</t>
  </si>
  <si>
    <t>SOC_1</t>
  </si>
  <si>
    <t>SOC_2</t>
  </si>
  <si>
    <t>SOC_3</t>
  </si>
  <si>
    <t>SOC_4</t>
  </si>
  <si>
    <t>SOC_5</t>
  </si>
  <si>
    <t>SOC_6</t>
  </si>
  <si>
    <t>SOC_7</t>
  </si>
  <si>
    <t>SOC_8</t>
  </si>
  <si>
    <t>SOC_9</t>
  </si>
  <si>
    <t>SOC_10</t>
  </si>
  <si>
    <t>SOC_11</t>
  </si>
  <si>
    <t>SOC_12</t>
  </si>
  <si>
    <t>SOC_13</t>
  </si>
  <si>
    <t>SOC_14</t>
  </si>
  <si>
    <t>SOC_15</t>
  </si>
  <si>
    <t>SOC_16</t>
  </si>
  <si>
    <t>SOC_17</t>
  </si>
  <si>
    <t>SOC_18</t>
  </si>
  <si>
    <t>SOC_19</t>
  </si>
  <si>
    <t>SOC_20</t>
  </si>
  <si>
    <t>SOC_21</t>
  </si>
  <si>
    <t>SOC_22</t>
  </si>
  <si>
    <t>SOC_23</t>
  </si>
  <si>
    <t>alpha</t>
  </si>
  <si>
    <t>运营成本(元)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</si>
</sst>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5" customWidth="1"/>
    <col min="2" max="3" width="11" customWidth="1"/>
    <col min="4" max="5" width="20" customWidth="1"/>
    <col min="6" max="7" width="16" customWidth="1"/>
    <col min="8" max="8" width="28" customWidth="1"/>
    <col min="9" max="9" width="22" customWidth="1"/>
    <col min="10" max="10" width="24" customWidth="1"/>
    <col min="11" max="11" width="18" customWidth="1"/>
    <col min="12" max="12" width="13" customWidth="1"/>
    <col min="13" max="14" width="15" customWidth="1"/>
    <col min="15" max="15" width="21" customWidth="1"/>
    <col min="16" max="17" width="19" customWidth="1"/>
    <col min="18" max="18" width="60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>
        <v>1</v>
      </c>
      <c r="C2" s="2">
        <v>1</v>
      </c>
      <c r="D2" s="2">
        <v>558.72</v>
      </c>
      <c r="E2" s="2">
        <v>761.76</v>
      </c>
      <c r="F2" s="2">
        <v>145.19</v>
      </c>
      <c r="G2" s="2">
        <v>348.23</v>
      </c>
      <c r="H2" s="2">
        <v>8.57</v>
      </c>
      <c r="I2" s="2">
        <v>74.010000000000005</v>
      </c>
      <c r="J2" s="2">
        <v>45.71</v>
      </c>
      <c r="K2" s="2">
        <v>2983.79</v>
      </c>
      <c r="L2" s="2" t="b">
        <v>0</v>
      </c>
      <c r="M2" s="2" t="b">
        <v>1</v>
      </c>
      <c r="N2" s="2" t="b">
        <v>0</v>
      </c>
      <c r="O2" s="2">
        <v>-51.43</v>
      </c>
      <c r="P2" s="2">
        <v>44.01</v>
      </c>
      <c r="Q2" s="2">
        <v>-25.71</v>
      </c>
      <c r="R2" s="2" t="s">
        <v>19</v>
      </c>
    </row>
    <row r="3" spans="1:18" x14ac:dyDescent="0.3">
      <c r="A3" s="2" t="s">
        <v>20</v>
      </c>
      <c r="B3" s="2">
        <v>1</v>
      </c>
      <c r="C3" s="2">
        <v>2</v>
      </c>
      <c r="D3" s="2">
        <v>558.72</v>
      </c>
      <c r="E3" s="2">
        <v>503.2</v>
      </c>
      <c r="F3" s="2">
        <v>175.04</v>
      </c>
      <c r="G3" s="2">
        <v>119.52</v>
      </c>
      <c r="H3" s="2">
        <v>52.5</v>
      </c>
      <c r="I3" s="2">
        <v>68.67</v>
      </c>
      <c r="J3" s="2">
        <v>23.75</v>
      </c>
      <c r="K3" s="2">
        <v>4971.16</v>
      </c>
      <c r="L3" s="2" t="b">
        <v>0</v>
      </c>
      <c r="M3" s="2" t="b">
        <v>1</v>
      </c>
      <c r="N3" s="2" t="b">
        <v>0</v>
      </c>
      <c r="O3" s="2">
        <v>-7.5</v>
      </c>
      <c r="P3" s="2">
        <v>38.67</v>
      </c>
      <c r="Q3" s="2">
        <v>-3.75</v>
      </c>
      <c r="R3" s="2" t="s">
        <v>19</v>
      </c>
    </row>
    <row r="4" spans="1:18" x14ac:dyDescent="0.3">
      <c r="A4" s="2" t="s">
        <v>21</v>
      </c>
      <c r="B4" s="2">
        <v>1</v>
      </c>
      <c r="C4" s="2">
        <v>3</v>
      </c>
      <c r="D4" s="2">
        <v>558.72</v>
      </c>
      <c r="E4" s="2">
        <v>337.44</v>
      </c>
      <c r="F4" s="2">
        <v>226.44</v>
      </c>
      <c r="G4" s="2">
        <v>5.16</v>
      </c>
      <c r="H4" s="2">
        <v>96.94</v>
      </c>
      <c r="I4" s="2">
        <v>59.47</v>
      </c>
      <c r="J4" s="2">
        <v>1.53</v>
      </c>
      <c r="K4" s="2">
        <v>6595.33</v>
      </c>
      <c r="L4" s="2" t="b">
        <v>1</v>
      </c>
      <c r="M4" s="2" t="b">
        <v>1</v>
      </c>
      <c r="N4" s="2" t="b">
        <v>1</v>
      </c>
      <c r="O4" s="2">
        <v>36.94</v>
      </c>
      <c r="P4" s="2">
        <v>29.47</v>
      </c>
      <c r="Q4" s="2">
        <v>18.47</v>
      </c>
      <c r="R4" s="2" t="s">
        <v>22</v>
      </c>
    </row>
    <row r="5" spans="1:18" x14ac:dyDescent="0.3">
      <c r="A5" s="2" t="s">
        <v>23</v>
      </c>
      <c r="B5" s="2">
        <v>1</v>
      </c>
      <c r="C5" s="2">
        <v>4</v>
      </c>
      <c r="D5" s="2">
        <v>558.72</v>
      </c>
      <c r="E5" s="2">
        <v>272.8</v>
      </c>
      <c r="F5" s="2">
        <v>285.92</v>
      </c>
      <c r="G5" s="2">
        <v>0</v>
      </c>
      <c r="H5" s="2">
        <v>100</v>
      </c>
      <c r="I5" s="2">
        <v>48.83</v>
      </c>
      <c r="J5" s="2">
        <v>0</v>
      </c>
      <c r="K5" s="2">
        <v>7631.5</v>
      </c>
      <c r="L5" s="2" t="b">
        <v>1</v>
      </c>
      <c r="M5" s="2" t="b">
        <v>1</v>
      </c>
      <c r="N5" s="2" t="b">
        <v>1</v>
      </c>
      <c r="O5" s="2">
        <v>40</v>
      </c>
      <c r="P5" s="2">
        <v>18.829999999999998</v>
      </c>
      <c r="Q5" s="2">
        <v>20</v>
      </c>
      <c r="R5" s="2" t="s">
        <v>22</v>
      </c>
    </row>
    <row r="6" spans="1:18" x14ac:dyDescent="0.3">
      <c r="A6" s="2" t="s">
        <v>24</v>
      </c>
      <c r="B6" s="2">
        <v>2</v>
      </c>
      <c r="C6" s="2">
        <v>1</v>
      </c>
      <c r="D6" s="2">
        <v>558.72</v>
      </c>
      <c r="E6" s="2">
        <v>658.9</v>
      </c>
      <c r="F6" s="2">
        <v>182.62</v>
      </c>
      <c r="G6" s="2">
        <v>282.8</v>
      </c>
      <c r="H6" s="2">
        <v>14.16</v>
      </c>
      <c r="I6" s="2">
        <v>67.31</v>
      </c>
      <c r="J6" s="2">
        <v>42.92</v>
      </c>
      <c r="K6" s="2">
        <v>3673.17</v>
      </c>
      <c r="L6" s="2" t="b">
        <v>0</v>
      </c>
      <c r="M6" s="2" t="b">
        <v>1</v>
      </c>
      <c r="N6" s="2" t="b">
        <v>0</v>
      </c>
      <c r="O6" s="2">
        <v>-45.84</v>
      </c>
      <c r="P6" s="2">
        <v>37.31</v>
      </c>
      <c r="Q6" s="2">
        <v>-22.92</v>
      </c>
      <c r="R6" s="2" t="s">
        <v>19</v>
      </c>
    </row>
    <row r="7" spans="1:18" x14ac:dyDescent="0.3">
      <c r="A7" s="2" t="s">
        <v>25</v>
      </c>
      <c r="B7" s="2">
        <v>2</v>
      </c>
      <c r="C7" s="2">
        <v>2</v>
      </c>
      <c r="D7" s="2">
        <v>558.72</v>
      </c>
      <c r="E7" s="2">
        <v>400.34</v>
      </c>
      <c r="F7" s="2">
        <v>237.28</v>
      </c>
      <c r="G7" s="2">
        <v>78.91</v>
      </c>
      <c r="H7" s="2">
        <v>60.58</v>
      </c>
      <c r="I7" s="2">
        <v>57.53</v>
      </c>
      <c r="J7" s="2">
        <v>19.71</v>
      </c>
      <c r="K7" s="2">
        <v>5815.36</v>
      </c>
      <c r="L7" s="2" t="b">
        <v>1</v>
      </c>
      <c r="M7" s="2" t="b">
        <v>1</v>
      </c>
      <c r="N7" s="2" t="b">
        <v>1</v>
      </c>
      <c r="O7" s="2">
        <v>0.57999999999999996</v>
      </c>
      <c r="P7" s="2">
        <v>27.53</v>
      </c>
      <c r="Q7" s="2">
        <v>0.28999999999999998</v>
      </c>
      <c r="R7" s="2" t="s">
        <v>22</v>
      </c>
    </row>
    <row r="8" spans="1:18" x14ac:dyDescent="0.3">
      <c r="A8" s="2" t="s">
        <v>26</v>
      </c>
      <c r="B8" s="2">
        <v>2</v>
      </c>
      <c r="C8" s="2">
        <v>3</v>
      </c>
      <c r="D8" s="2">
        <v>558.72</v>
      </c>
      <c r="E8" s="2">
        <v>234.58</v>
      </c>
      <c r="F8" s="2">
        <v>324.14</v>
      </c>
      <c r="G8" s="2">
        <v>0</v>
      </c>
      <c r="H8" s="2">
        <v>100</v>
      </c>
      <c r="I8" s="2">
        <v>41.99</v>
      </c>
      <c r="J8" s="2">
        <v>0</v>
      </c>
      <c r="K8" s="2">
        <v>7748.51</v>
      </c>
      <c r="L8" s="2" t="b">
        <v>1</v>
      </c>
      <c r="M8" s="2" t="b">
        <v>1</v>
      </c>
      <c r="N8" s="2" t="b">
        <v>1</v>
      </c>
      <c r="O8" s="2">
        <v>40</v>
      </c>
      <c r="P8" s="2">
        <v>11.99</v>
      </c>
      <c r="Q8" s="2">
        <v>20</v>
      </c>
      <c r="R8" s="2" t="s">
        <v>22</v>
      </c>
    </row>
    <row r="9" spans="1:18" x14ac:dyDescent="0.3">
      <c r="A9" s="2" t="s">
        <v>27</v>
      </c>
      <c r="B9" s="2">
        <v>2</v>
      </c>
      <c r="C9" s="2">
        <v>4</v>
      </c>
      <c r="D9" s="2">
        <v>558.72</v>
      </c>
      <c r="E9" s="2">
        <v>169.94</v>
      </c>
      <c r="F9" s="2">
        <v>388.78</v>
      </c>
      <c r="G9" s="2">
        <v>0</v>
      </c>
      <c r="H9" s="2">
        <v>100</v>
      </c>
      <c r="I9" s="2">
        <v>30.42</v>
      </c>
      <c r="J9" s="2">
        <v>0</v>
      </c>
      <c r="K9" s="2">
        <v>8845.5300000000007</v>
      </c>
      <c r="L9" s="2" t="b">
        <v>1</v>
      </c>
      <c r="M9" s="2" t="b">
        <v>1</v>
      </c>
      <c r="N9" s="2" t="b">
        <v>1</v>
      </c>
      <c r="O9" s="2">
        <v>40</v>
      </c>
      <c r="P9" s="2">
        <v>0.42</v>
      </c>
      <c r="Q9" s="2">
        <v>20</v>
      </c>
      <c r="R9" s="2" t="s">
        <v>22</v>
      </c>
    </row>
    <row r="10" spans="1:18" x14ac:dyDescent="0.3">
      <c r="A10" s="2" t="s">
        <v>28</v>
      </c>
      <c r="B10" s="2">
        <v>3</v>
      </c>
      <c r="C10" s="2">
        <v>1</v>
      </c>
      <c r="D10" s="2">
        <v>558.72</v>
      </c>
      <c r="E10" s="2">
        <v>780.84</v>
      </c>
      <c r="F10" s="2">
        <v>122.99</v>
      </c>
      <c r="G10" s="2">
        <v>345.11</v>
      </c>
      <c r="H10" s="2">
        <v>11.61</v>
      </c>
      <c r="I10" s="2">
        <v>77.989999999999995</v>
      </c>
      <c r="J10" s="2">
        <v>44.2</v>
      </c>
      <c r="K10" s="2">
        <v>2696.22</v>
      </c>
      <c r="L10" s="2" t="b">
        <v>0</v>
      </c>
      <c r="M10" s="2" t="b">
        <v>1</v>
      </c>
      <c r="N10" s="2" t="b">
        <v>0</v>
      </c>
      <c r="O10" s="2">
        <v>-48.39</v>
      </c>
      <c r="P10" s="2">
        <v>47.99</v>
      </c>
      <c r="Q10" s="2">
        <v>-24.2</v>
      </c>
      <c r="R10" s="2" t="s">
        <v>19</v>
      </c>
    </row>
    <row r="11" spans="1:18" x14ac:dyDescent="0.3">
      <c r="A11" s="2" t="s">
        <v>29</v>
      </c>
      <c r="B11" s="2">
        <v>3</v>
      </c>
      <c r="C11" s="2">
        <v>2</v>
      </c>
      <c r="D11" s="2">
        <v>558.72</v>
      </c>
      <c r="E11" s="2">
        <v>522.28</v>
      </c>
      <c r="F11" s="2">
        <v>153.69</v>
      </c>
      <c r="G11" s="2">
        <v>117.25</v>
      </c>
      <c r="H11" s="2">
        <v>55.1</v>
      </c>
      <c r="I11" s="2">
        <v>72.489999999999995</v>
      </c>
      <c r="J11" s="2">
        <v>22.45</v>
      </c>
      <c r="K11" s="2">
        <v>4718.25</v>
      </c>
      <c r="L11" s="2" t="b">
        <v>0</v>
      </c>
      <c r="M11" s="2" t="b">
        <v>1</v>
      </c>
      <c r="N11" s="2" t="b">
        <v>0</v>
      </c>
      <c r="O11" s="2">
        <v>-4.9000000000000004</v>
      </c>
      <c r="P11" s="2">
        <v>42.49</v>
      </c>
      <c r="Q11" s="2">
        <v>-2.4500000000000002</v>
      </c>
      <c r="R11" s="2" t="s">
        <v>19</v>
      </c>
    </row>
    <row r="12" spans="1:18" x14ac:dyDescent="0.3">
      <c r="A12" s="2" t="s">
        <v>30</v>
      </c>
      <c r="B12" s="2">
        <v>3</v>
      </c>
      <c r="C12" s="2">
        <v>3</v>
      </c>
      <c r="D12" s="2">
        <v>558.72</v>
      </c>
      <c r="E12" s="2">
        <v>356.52</v>
      </c>
      <c r="F12" s="2">
        <v>203.54</v>
      </c>
      <c r="G12" s="2">
        <v>1.34</v>
      </c>
      <c r="H12" s="2">
        <v>99.25</v>
      </c>
      <c r="I12" s="2">
        <v>63.57</v>
      </c>
      <c r="J12" s="2">
        <v>0.38</v>
      </c>
      <c r="K12" s="2">
        <v>6317.34</v>
      </c>
      <c r="L12" s="2" t="b">
        <v>1</v>
      </c>
      <c r="M12" s="2" t="b">
        <v>1</v>
      </c>
      <c r="N12" s="2" t="b">
        <v>1</v>
      </c>
      <c r="O12" s="2">
        <v>39.25</v>
      </c>
      <c r="P12" s="2">
        <v>33.57</v>
      </c>
      <c r="Q12" s="2">
        <v>19.62</v>
      </c>
      <c r="R12" s="2" t="s">
        <v>22</v>
      </c>
    </row>
    <row r="13" spans="1:18" x14ac:dyDescent="0.3">
      <c r="A13" s="2" t="s">
        <v>31</v>
      </c>
      <c r="B13" s="2">
        <v>3</v>
      </c>
      <c r="C13" s="2">
        <v>4</v>
      </c>
      <c r="D13" s="2">
        <v>558.72</v>
      </c>
      <c r="E13" s="2">
        <v>291.88</v>
      </c>
      <c r="F13" s="2">
        <v>266.83999999999997</v>
      </c>
      <c r="G13" s="2">
        <v>0</v>
      </c>
      <c r="H13" s="2">
        <v>100</v>
      </c>
      <c r="I13" s="2">
        <v>52.24</v>
      </c>
      <c r="J13" s="2">
        <v>0</v>
      </c>
      <c r="K13" s="2">
        <v>7398.51</v>
      </c>
      <c r="L13" s="2" t="b">
        <v>1</v>
      </c>
      <c r="M13" s="2" t="b">
        <v>1</v>
      </c>
      <c r="N13" s="2" t="b">
        <v>1</v>
      </c>
      <c r="O13" s="2">
        <v>40</v>
      </c>
      <c r="P13" s="2">
        <v>22.24</v>
      </c>
      <c r="Q13" s="2">
        <v>20</v>
      </c>
      <c r="R13" s="2" t="s">
        <v>22</v>
      </c>
    </row>
    <row r="14" spans="1:18" x14ac:dyDescent="0.3">
      <c r="A14" s="2" t="s">
        <v>32</v>
      </c>
      <c r="B14" s="2">
        <v>4</v>
      </c>
      <c r="C14" s="2">
        <v>1</v>
      </c>
      <c r="D14" s="2">
        <v>558.72</v>
      </c>
      <c r="E14" s="2">
        <v>876.92</v>
      </c>
      <c r="F14" s="2">
        <v>103.42</v>
      </c>
      <c r="G14" s="2">
        <v>421.62</v>
      </c>
      <c r="H14" s="2">
        <v>3.84</v>
      </c>
      <c r="I14" s="2">
        <v>81.489999999999995</v>
      </c>
      <c r="J14" s="2">
        <v>48.08</v>
      </c>
      <c r="K14" s="2">
        <v>2094.6</v>
      </c>
      <c r="L14" s="2" t="b">
        <v>0</v>
      </c>
      <c r="M14" s="2" t="b">
        <v>1</v>
      </c>
      <c r="N14" s="2" t="b">
        <v>0</v>
      </c>
      <c r="O14" s="2">
        <v>-56.16</v>
      </c>
      <c r="P14" s="2">
        <v>51.49</v>
      </c>
      <c r="Q14" s="2">
        <v>-28.08</v>
      </c>
      <c r="R14" s="2" t="s">
        <v>19</v>
      </c>
    </row>
    <row r="15" spans="1:18" x14ac:dyDescent="0.3">
      <c r="A15" s="2" t="s">
        <v>33</v>
      </c>
      <c r="B15" s="2">
        <v>4</v>
      </c>
      <c r="C15" s="2">
        <v>2</v>
      </c>
      <c r="D15" s="2">
        <v>558.72</v>
      </c>
      <c r="E15" s="2">
        <v>618.36</v>
      </c>
      <c r="F15" s="2">
        <v>108.25</v>
      </c>
      <c r="G15" s="2">
        <v>167.89</v>
      </c>
      <c r="H15" s="2">
        <v>45.7</v>
      </c>
      <c r="I15" s="2">
        <v>80.63</v>
      </c>
      <c r="J15" s="2">
        <v>27.15</v>
      </c>
      <c r="K15" s="2">
        <v>4003.87</v>
      </c>
      <c r="L15" s="2" t="b">
        <v>0</v>
      </c>
      <c r="M15" s="2" t="b">
        <v>1</v>
      </c>
      <c r="N15" s="2" t="b">
        <v>0</v>
      </c>
      <c r="O15" s="2">
        <v>-14.3</v>
      </c>
      <c r="P15" s="2">
        <v>50.63</v>
      </c>
      <c r="Q15" s="2">
        <v>-7.15</v>
      </c>
      <c r="R15" s="2" t="s">
        <v>19</v>
      </c>
    </row>
    <row r="16" spans="1:18" x14ac:dyDescent="0.3">
      <c r="A16" s="2" t="s">
        <v>34</v>
      </c>
      <c r="B16" s="2">
        <v>4</v>
      </c>
      <c r="C16" s="2">
        <v>3</v>
      </c>
      <c r="D16" s="2">
        <v>558.72</v>
      </c>
      <c r="E16" s="2">
        <v>452.6</v>
      </c>
      <c r="F16" s="2">
        <v>130.13999999999999</v>
      </c>
      <c r="G16" s="2">
        <v>24.02</v>
      </c>
      <c r="H16" s="2">
        <v>89.38</v>
      </c>
      <c r="I16" s="2">
        <v>76.709999999999994</v>
      </c>
      <c r="J16" s="2">
        <v>5.31</v>
      </c>
      <c r="K16" s="2">
        <v>5415.36</v>
      </c>
      <c r="L16" s="2" t="b">
        <v>1</v>
      </c>
      <c r="M16" s="2" t="b">
        <v>1</v>
      </c>
      <c r="N16" s="2" t="b">
        <v>1</v>
      </c>
      <c r="O16" s="2">
        <v>29.38</v>
      </c>
      <c r="P16" s="2">
        <v>46.71</v>
      </c>
      <c r="Q16" s="2">
        <v>14.69</v>
      </c>
      <c r="R16" s="2" t="s">
        <v>22</v>
      </c>
    </row>
    <row r="17" spans="1:18" x14ac:dyDescent="0.3">
      <c r="A17" s="2" t="s">
        <v>35</v>
      </c>
      <c r="B17" s="2">
        <v>4</v>
      </c>
      <c r="C17" s="2">
        <v>4</v>
      </c>
      <c r="D17" s="2">
        <v>558.72</v>
      </c>
      <c r="E17" s="2">
        <v>387.96</v>
      </c>
      <c r="F17" s="2">
        <v>179.12</v>
      </c>
      <c r="G17" s="2">
        <v>8.36</v>
      </c>
      <c r="H17" s="2">
        <v>95.69</v>
      </c>
      <c r="I17" s="2">
        <v>67.94</v>
      </c>
      <c r="J17" s="2">
        <v>2.16</v>
      </c>
      <c r="K17" s="2">
        <v>6386.7</v>
      </c>
      <c r="L17" s="2" t="b">
        <v>1</v>
      </c>
      <c r="M17" s="2" t="b">
        <v>1</v>
      </c>
      <c r="N17" s="2" t="b">
        <v>1</v>
      </c>
      <c r="O17" s="2">
        <v>35.69</v>
      </c>
      <c r="P17" s="2">
        <v>37.94</v>
      </c>
      <c r="Q17" s="2">
        <v>17.84</v>
      </c>
      <c r="R17" s="2" t="s">
        <v>22</v>
      </c>
    </row>
    <row r="18" spans="1:18" x14ac:dyDescent="0.3">
      <c r="A18" s="2" t="s">
        <v>36</v>
      </c>
      <c r="B18" s="2">
        <v>5</v>
      </c>
      <c r="C18" s="2">
        <v>1</v>
      </c>
      <c r="D18" s="2">
        <v>558.72</v>
      </c>
      <c r="E18" s="2">
        <v>819.42</v>
      </c>
      <c r="F18" s="2">
        <v>113.29</v>
      </c>
      <c r="G18" s="2">
        <v>373.99</v>
      </c>
      <c r="H18" s="2">
        <v>8.7200000000000006</v>
      </c>
      <c r="I18" s="2">
        <v>79.72</v>
      </c>
      <c r="J18" s="2">
        <v>45.64</v>
      </c>
      <c r="K18" s="2">
        <v>2434.98</v>
      </c>
      <c r="L18" s="2" t="b">
        <v>0</v>
      </c>
      <c r="M18" s="2" t="b">
        <v>1</v>
      </c>
      <c r="N18" s="2" t="b">
        <v>0</v>
      </c>
      <c r="O18" s="2">
        <v>-51.28</v>
      </c>
      <c r="P18" s="2">
        <v>49.72</v>
      </c>
      <c r="Q18" s="2">
        <v>-25.64</v>
      </c>
      <c r="R18" s="2" t="s">
        <v>19</v>
      </c>
    </row>
    <row r="19" spans="1:18" x14ac:dyDescent="0.3">
      <c r="A19" s="2" t="s">
        <v>37</v>
      </c>
      <c r="B19" s="2">
        <v>5</v>
      </c>
      <c r="C19" s="2">
        <v>2</v>
      </c>
      <c r="D19" s="2">
        <v>558.72</v>
      </c>
      <c r="E19" s="2">
        <v>560.86</v>
      </c>
      <c r="F19" s="2">
        <v>144.21</v>
      </c>
      <c r="G19" s="2">
        <v>146.35</v>
      </c>
      <c r="H19" s="2">
        <v>47.81</v>
      </c>
      <c r="I19" s="2">
        <v>74.19</v>
      </c>
      <c r="J19" s="2">
        <v>26.09</v>
      </c>
      <c r="K19" s="2">
        <v>4489.7700000000004</v>
      </c>
      <c r="L19" s="2" t="b">
        <v>0</v>
      </c>
      <c r="M19" s="2" t="b">
        <v>1</v>
      </c>
      <c r="N19" s="2" t="b">
        <v>0</v>
      </c>
      <c r="O19" s="2">
        <v>-12.19</v>
      </c>
      <c r="P19" s="2">
        <v>44.19</v>
      </c>
      <c r="Q19" s="2">
        <v>-6.09</v>
      </c>
      <c r="R19" s="2" t="s">
        <v>19</v>
      </c>
    </row>
    <row r="20" spans="1:18" x14ac:dyDescent="0.3">
      <c r="A20" s="2" t="s">
        <v>38</v>
      </c>
      <c r="B20" s="2">
        <v>5</v>
      </c>
      <c r="C20" s="2">
        <v>3</v>
      </c>
      <c r="D20" s="2">
        <v>558.72</v>
      </c>
      <c r="E20" s="2">
        <v>395.1</v>
      </c>
      <c r="F20" s="2">
        <v>172.94</v>
      </c>
      <c r="G20" s="2">
        <v>9.32</v>
      </c>
      <c r="H20" s="2">
        <v>95.28</v>
      </c>
      <c r="I20" s="2">
        <v>69.05</v>
      </c>
      <c r="J20" s="2">
        <v>2.36</v>
      </c>
      <c r="K20" s="2">
        <v>5902.21</v>
      </c>
      <c r="L20" s="2" t="b">
        <v>1</v>
      </c>
      <c r="M20" s="2" t="b">
        <v>1</v>
      </c>
      <c r="N20" s="2" t="b">
        <v>1</v>
      </c>
      <c r="O20" s="2">
        <v>35.28</v>
      </c>
      <c r="P20" s="2">
        <v>39.049999999999997</v>
      </c>
      <c r="Q20" s="2">
        <v>17.64</v>
      </c>
      <c r="R20" s="2" t="s">
        <v>22</v>
      </c>
    </row>
    <row r="21" spans="1:18" x14ac:dyDescent="0.3">
      <c r="A21" s="2" t="s">
        <v>39</v>
      </c>
      <c r="B21" s="2">
        <v>5</v>
      </c>
      <c r="C21" s="2">
        <v>4</v>
      </c>
      <c r="D21" s="2">
        <v>558.72</v>
      </c>
      <c r="E21" s="2">
        <v>330.46</v>
      </c>
      <c r="F21" s="2">
        <v>228.26</v>
      </c>
      <c r="G21" s="2">
        <v>0</v>
      </c>
      <c r="H21" s="2">
        <v>100</v>
      </c>
      <c r="I21" s="2">
        <v>59.15</v>
      </c>
      <c r="J21" s="2">
        <v>0</v>
      </c>
      <c r="K21" s="2">
        <v>6899.39</v>
      </c>
      <c r="L21" s="2" t="b">
        <v>1</v>
      </c>
      <c r="M21" s="2" t="b">
        <v>1</v>
      </c>
      <c r="N21" s="2" t="b">
        <v>1</v>
      </c>
      <c r="O21" s="2">
        <v>40</v>
      </c>
      <c r="P21" s="2">
        <v>29.15</v>
      </c>
      <c r="Q21" s="2">
        <v>20</v>
      </c>
      <c r="R21" s="2" t="s">
        <v>22</v>
      </c>
    </row>
    <row r="22" spans="1:18" x14ac:dyDescent="0.3">
      <c r="A22" s="2" t="s">
        <v>40</v>
      </c>
      <c r="B22" s="2">
        <v>6</v>
      </c>
      <c r="C22" s="2">
        <v>1</v>
      </c>
      <c r="D22" s="2">
        <v>558.72</v>
      </c>
      <c r="E22" s="2">
        <v>715.76</v>
      </c>
      <c r="F22" s="2">
        <v>137.44999999999999</v>
      </c>
      <c r="G22" s="2">
        <v>294.49</v>
      </c>
      <c r="H22" s="2">
        <v>17.71</v>
      </c>
      <c r="I22" s="2">
        <v>75.400000000000006</v>
      </c>
      <c r="J22" s="2">
        <v>41.14</v>
      </c>
      <c r="K22" s="2">
        <v>3082.7</v>
      </c>
      <c r="L22" s="2" t="b">
        <v>0</v>
      </c>
      <c r="M22" s="2" t="b">
        <v>1</v>
      </c>
      <c r="N22" s="2" t="b">
        <v>0</v>
      </c>
      <c r="O22" s="2">
        <v>-42.29</v>
      </c>
      <c r="P22" s="2">
        <v>45.4</v>
      </c>
      <c r="Q22" s="2">
        <v>-21.14</v>
      </c>
      <c r="R22" s="2" t="s">
        <v>19</v>
      </c>
    </row>
    <row r="23" spans="1:18" x14ac:dyDescent="0.3">
      <c r="A23" s="2" t="s">
        <v>41</v>
      </c>
      <c r="B23" s="2">
        <v>6</v>
      </c>
      <c r="C23" s="2">
        <v>2</v>
      </c>
      <c r="D23" s="2">
        <v>558.72</v>
      </c>
      <c r="E23" s="2">
        <v>457.2</v>
      </c>
      <c r="F23" s="2">
        <v>179.03</v>
      </c>
      <c r="G23" s="2">
        <v>77.510000000000005</v>
      </c>
      <c r="H23" s="2">
        <v>66.09</v>
      </c>
      <c r="I23" s="2">
        <v>67.959999999999994</v>
      </c>
      <c r="J23" s="2">
        <v>16.95</v>
      </c>
      <c r="K23" s="2">
        <v>5153.0600000000004</v>
      </c>
      <c r="L23" s="2" t="b">
        <v>1</v>
      </c>
      <c r="M23" s="2" t="b">
        <v>1</v>
      </c>
      <c r="N23" s="2" t="b">
        <v>1</v>
      </c>
      <c r="O23" s="2">
        <v>6.09</v>
      </c>
      <c r="P23" s="2">
        <v>37.96</v>
      </c>
      <c r="Q23" s="2">
        <v>3.05</v>
      </c>
      <c r="R23" s="2" t="s">
        <v>22</v>
      </c>
    </row>
    <row r="24" spans="1:18" x14ac:dyDescent="0.3">
      <c r="A24" s="2" t="s">
        <v>42</v>
      </c>
      <c r="B24" s="2">
        <v>6</v>
      </c>
      <c r="C24" s="2">
        <v>3</v>
      </c>
      <c r="D24" s="2">
        <v>558.72</v>
      </c>
      <c r="E24" s="2">
        <v>291.44</v>
      </c>
      <c r="F24" s="2">
        <v>267.27999999999997</v>
      </c>
      <c r="G24" s="2">
        <v>0</v>
      </c>
      <c r="H24" s="2">
        <v>100</v>
      </c>
      <c r="I24" s="2">
        <v>52.16</v>
      </c>
      <c r="J24" s="2">
        <v>0</v>
      </c>
      <c r="K24" s="2">
        <v>7090.34</v>
      </c>
      <c r="L24" s="2" t="b">
        <v>1</v>
      </c>
      <c r="M24" s="2" t="b">
        <v>1</v>
      </c>
      <c r="N24" s="2" t="b">
        <v>1</v>
      </c>
      <c r="O24" s="2">
        <v>40</v>
      </c>
      <c r="P24" s="2">
        <v>22.16</v>
      </c>
      <c r="Q24" s="2">
        <v>20</v>
      </c>
      <c r="R24" s="2" t="s">
        <v>22</v>
      </c>
    </row>
    <row r="25" spans="1:18" x14ac:dyDescent="0.3">
      <c r="A25" s="2" t="s">
        <v>43</v>
      </c>
      <c r="B25" s="2">
        <v>6</v>
      </c>
      <c r="C25" s="2">
        <v>4</v>
      </c>
      <c r="D25" s="2">
        <v>558.72</v>
      </c>
      <c r="E25" s="2">
        <v>226.8</v>
      </c>
      <c r="F25" s="2">
        <v>331.92</v>
      </c>
      <c r="G25" s="2">
        <v>0</v>
      </c>
      <c r="H25" s="2">
        <v>100</v>
      </c>
      <c r="I25" s="2">
        <v>40.590000000000003</v>
      </c>
      <c r="J25" s="2">
        <v>0</v>
      </c>
      <c r="K25" s="2">
        <v>8187.36</v>
      </c>
      <c r="L25" s="2" t="b">
        <v>1</v>
      </c>
      <c r="M25" s="2" t="b">
        <v>1</v>
      </c>
      <c r="N25" s="2" t="b">
        <v>1</v>
      </c>
      <c r="O25" s="2">
        <v>40</v>
      </c>
      <c r="P25" s="2">
        <v>10.59</v>
      </c>
      <c r="Q25" s="2">
        <v>20</v>
      </c>
      <c r="R25" s="2" t="s">
        <v>22</v>
      </c>
    </row>
    <row r="26" spans="1:18" x14ac:dyDescent="0.3">
      <c r="A26" s="2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 t="s">
        <v>45</v>
      </c>
    </row>
    <row r="27" spans="1:18" x14ac:dyDescent="0.3">
      <c r="A27" s="2" t="s">
        <v>46</v>
      </c>
      <c r="B27" s="2"/>
      <c r="C27" s="2"/>
      <c r="D27" s="2">
        <v>558.72</v>
      </c>
      <c r="E27" s="2">
        <v>475.97</v>
      </c>
      <c r="F27" s="2">
        <v>200.32</v>
      </c>
      <c r="G27" s="2">
        <v>117.58</v>
      </c>
      <c r="H27" s="2">
        <v>65.37</v>
      </c>
      <c r="I27" s="2">
        <v>64.150000000000006</v>
      </c>
      <c r="J27" s="2">
        <v>17.309999999999999</v>
      </c>
      <c r="K27" s="2">
        <v>5438.96</v>
      </c>
      <c r="L27" s="2"/>
      <c r="M27" s="2"/>
      <c r="N27" s="2"/>
      <c r="O27" s="2">
        <v>5.37</v>
      </c>
      <c r="P27" s="2">
        <v>34.15</v>
      </c>
      <c r="Q27" s="2">
        <v>2.69</v>
      </c>
      <c r="R27" s="2" t="s">
        <v>46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6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4" customWidth="1"/>
    <col min="2" max="3" width="11" customWidth="1"/>
    <col min="4" max="4" width="17" customWidth="1"/>
    <col min="5" max="5" width="22" customWidth="1"/>
    <col min="6" max="6" width="21" customWidth="1"/>
    <col min="7" max="7" width="11" customWidth="1"/>
    <col min="8" max="8" width="60" customWidth="1"/>
    <col min="9" max="10" width="21" customWidth="1"/>
    <col min="11" max="13" width="16" customWidth="1"/>
    <col min="14" max="14" width="28" customWidth="1"/>
    <col min="15" max="15" width="22" customWidth="1"/>
    <col min="16" max="16" width="24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47</v>
      </c>
      <c r="E1" s="1" t="s">
        <v>48</v>
      </c>
      <c r="F1" s="1" t="s">
        <v>10</v>
      </c>
      <c r="G1" s="1" t="s">
        <v>49</v>
      </c>
      <c r="H1" s="1" t="s">
        <v>17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7</v>
      </c>
      <c r="O1" s="1" t="s">
        <v>8</v>
      </c>
      <c r="P1" s="1" t="s">
        <v>9</v>
      </c>
    </row>
    <row r="2" spans="1:16" x14ac:dyDescent="0.3">
      <c r="A2" s="2" t="s">
        <v>18</v>
      </c>
      <c r="B2" s="2">
        <v>1</v>
      </c>
      <c r="C2" s="2">
        <v>1</v>
      </c>
      <c r="D2" s="2">
        <v>72</v>
      </c>
      <c r="E2" s="2"/>
      <c r="F2" s="2"/>
      <c r="G2" s="2" t="s">
        <v>55</v>
      </c>
      <c r="H2" s="2" t="s">
        <v>55</v>
      </c>
      <c r="I2" s="2"/>
      <c r="J2" s="2"/>
      <c r="K2" s="2"/>
      <c r="L2" s="2"/>
      <c r="M2" s="2"/>
      <c r="N2" s="2"/>
      <c r="O2" s="2"/>
      <c r="P2" s="2"/>
    </row>
    <row r="3" spans="1:16" x14ac:dyDescent="0.3">
      <c r="A3" s="2" t="s">
        <v>20</v>
      </c>
      <c r="B3" s="2">
        <v>1</v>
      </c>
      <c r="C3" s="2">
        <v>2</v>
      </c>
      <c r="D3" s="2">
        <v>72</v>
      </c>
      <c r="E3" s="2"/>
      <c r="F3" s="2"/>
      <c r="G3" s="2" t="s">
        <v>55</v>
      </c>
      <c r="H3" s="2" t="s">
        <v>55</v>
      </c>
      <c r="I3" s="2"/>
      <c r="J3" s="2"/>
      <c r="K3" s="2"/>
      <c r="L3" s="2"/>
      <c r="M3" s="2"/>
      <c r="N3" s="2"/>
      <c r="O3" s="2"/>
      <c r="P3" s="2"/>
    </row>
    <row r="4" spans="1:16" x14ac:dyDescent="0.3">
      <c r="A4" s="2" t="s">
        <v>21</v>
      </c>
      <c r="B4" s="2">
        <v>1</v>
      </c>
      <c r="C4" s="2">
        <v>3</v>
      </c>
      <c r="D4" s="2">
        <v>72</v>
      </c>
      <c r="E4" s="2"/>
      <c r="F4" s="2"/>
      <c r="G4" s="2" t="s">
        <v>55</v>
      </c>
      <c r="H4" s="2" t="s">
        <v>55</v>
      </c>
      <c r="I4" s="2"/>
      <c r="J4" s="2"/>
      <c r="K4" s="2"/>
      <c r="L4" s="2"/>
      <c r="M4" s="2"/>
      <c r="N4" s="2"/>
      <c r="O4" s="2"/>
      <c r="P4" s="2"/>
    </row>
    <row r="5" spans="1:16" x14ac:dyDescent="0.3">
      <c r="A5" s="2" t="s">
        <v>23</v>
      </c>
      <c r="B5" s="2">
        <v>1</v>
      </c>
      <c r="C5" s="2">
        <v>4</v>
      </c>
      <c r="D5" s="2">
        <v>72</v>
      </c>
      <c r="E5" s="2"/>
      <c r="F5" s="2"/>
      <c r="G5" s="2" t="s">
        <v>55</v>
      </c>
      <c r="H5" s="2" t="s">
        <v>55</v>
      </c>
      <c r="I5" s="2"/>
      <c r="J5" s="2"/>
      <c r="K5" s="2"/>
      <c r="L5" s="2"/>
      <c r="M5" s="2"/>
      <c r="N5" s="2"/>
      <c r="O5" s="2"/>
      <c r="P5" s="2"/>
    </row>
    <row r="6" spans="1:16" x14ac:dyDescent="0.3">
      <c r="A6" s="2" t="s">
        <v>24</v>
      </c>
      <c r="B6" s="2">
        <v>2</v>
      </c>
      <c r="C6" s="2">
        <v>1</v>
      </c>
      <c r="D6" s="2">
        <v>72</v>
      </c>
      <c r="E6" s="2"/>
      <c r="F6" s="2"/>
      <c r="G6" s="2" t="s">
        <v>55</v>
      </c>
      <c r="H6" s="2" t="s">
        <v>55</v>
      </c>
      <c r="I6" s="2"/>
      <c r="J6" s="2"/>
      <c r="K6" s="2"/>
      <c r="L6" s="2"/>
      <c r="M6" s="2"/>
      <c r="N6" s="2"/>
      <c r="O6" s="2"/>
      <c r="P6" s="2"/>
    </row>
    <row r="7" spans="1:16" x14ac:dyDescent="0.3">
      <c r="A7" s="2" t="s">
        <v>25</v>
      </c>
      <c r="B7" s="2">
        <v>2</v>
      </c>
      <c r="C7" s="2">
        <v>2</v>
      </c>
      <c r="D7" s="2">
        <v>72</v>
      </c>
      <c r="E7" s="2"/>
      <c r="F7" s="2"/>
      <c r="G7" s="2" t="s">
        <v>55</v>
      </c>
      <c r="H7" s="2" t="s">
        <v>55</v>
      </c>
      <c r="I7" s="2"/>
      <c r="J7" s="2"/>
      <c r="K7" s="2"/>
      <c r="L7" s="2"/>
      <c r="M7" s="2"/>
      <c r="N7" s="2"/>
      <c r="O7" s="2"/>
      <c r="P7" s="2"/>
    </row>
    <row r="8" spans="1:16" x14ac:dyDescent="0.3">
      <c r="A8" s="2" t="s">
        <v>26</v>
      </c>
      <c r="B8" s="2">
        <v>2</v>
      </c>
      <c r="C8" s="2">
        <v>3</v>
      </c>
      <c r="D8" s="2">
        <v>72</v>
      </c>
      <c r="E8" s="2"/>
      <c r="F8" s="2"/>
      <c r="G8" s="2" t="s">
        <v>55</v>
      </c>
      <c r="H8" s="2" t="s">
        <v>55</v>
      </c>
      <c r="I8" s="2"/>
      <c r="J8" s="2"/>
      <c r="K8" s="2"/>
      <c r="L8" s="2"/>
      <c r="M8" s="2"/>
      <c r="N8" s="2"/>
      <c r="O8" s="2"/>
      <c r="P8" s="2"/>
    </row>
    <row r="9" spans="1:16" x14ac:dyDescent="0.3">
      <c r="A9" s="2" t="s">
        <v>27</v>
      </c>
      <c r="B9" s="2">
        <v>2</v>
      </c>
      <c r="C9" s="2">
        <v>4</v>
      </c>
      <c r="D9" s="2">
        <v>72</v>
      </c>
      <c r="E9" s="2"/>
      <c r="F9" s="2"/>
      <c r="G9" s="2" t="s">
        <v>55</v>
      </c>
      <c r="H9" s="2" t="s">
        <v>55</v>
      </c>
      <c r="I9" s="2"/>
      <c r="J9" s="2"/>
      <c r="K9" s="2"/>
      <c r="L9" s="2"/>
      <c r="M9" s="2"/>
      <c r="N9" s="2"/>
      <c r="O9" s="2"/>
      <c r="P9" s="2"/>
    </row>
    <row r="10" spans="1:16" x14ac:dyDescent="0.3">
      <c r="A10" s="2" t="s">
        <v>28</v>
      </c>
      <c r="B10" s="2">
        <v>3</v>
      </c>
      <c r="C10" s="2">
        <v>1</v>
      </c>
      <c r="D10" s="2">
        <v>72</v>
      </c>
      <c r="E10" s="2"/>
      <c r="F10" s="2"/>
      <c r="G10" s="2" t="s">
        <v>55</v>
      </c>
      <c r="H10" s="2" t="s">
        <v>55</v>
      </c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2" t="s">
        <v>29</v>
      </c>
      <c r="B11" s="2">
        <v>3</v>
      </c>
      <c r="C11" s="2">
        <v>2</v>
      </c>
      <c r="D11" s="2">
        <v>72</v>
      </c>
      <c r="E11" s="2"/>
      <c r="F11" s="2"/>
      <c r="G11" s="2" t="s">
        <v>55</v>
      </c>
      <c r="H11" s="2" t="s">
        <v>55</v>
      </c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2" t="s">
        <v>30</v>
      </c>
      <c r="B12" s="2">
        <v>3</v>
      </c>
      <c r="C12" s="2">
        <v>3</v>
      </c>
      <c r="D12" s="2">
        <v>72</v>
      </c>
      <c r="E12" s="2"/>
      <c r="F12" s="2"/>
      <c r="G12" s="2" t="s">
        <v>55</v>
      </c>
      <c r="H12" s="2" t="s">
        <v>55</v>
      </c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2" t="s">
        <v>31</v>
      </c>
      <c r="B13" s="2">
        <v>3</v>
      </c>
      <c r="C13" s="2">
        <v>4</v>
      </c>
      <c r="D13" s="2">
        <v>72</v>
      </c>
      <c r="E13" s="2"/>
      <c r="F13" s="2"/>
      <c r="G13" s="2" t="s">
        <v>55</v>
      </c>
      <c r="H13" s="2" t="s">
        <v>55</v>
      </c>
      <c r="I13" s="2"/>
      <c r="J13" s="2"/>
      <c r="K13" s="2"/>
      <c r="L13" s="2"/>
      <c r="M13" s="2"/>
      <c r="N13" s="2"/>
      <c r="O13" s="2"/>
      <c r="P13" s="2"/>
    </row>
    <row r="14" spans="1:16" x14ac:dyDescent="0.3">
      <c r="A14" s="2" t="s">
        <v>32</v>
      </c>
      <c r="B14" s="2">
        <v>4</v>
      </c>
      <c r="C14" s="2">
        <v>1</v>
      </c>
      <c r="D14" s="2">
        <v>72</v>
      </c>
      <c r="E14" s="2"/>
      <c r="F14" s="2"/>
      <c r="G14" s="2" t="s">
        <v>55</v>
      </c>
      <c r="H14" s="2" t="s">
        <v>55</v>
      </c>
      <c r="I14" s="2"/>
      <c r="J14" s="2"/>
      <c r="K14" s="2"/>
      <c r="L14" s="2"/>
      <c r="M14" s="2"/>
      <c r="N14" s="2"/>
      <c r="O14" s="2"/>
      <c r="P14" s="2"/>
    </row>
    <row r="15" spans="1:16" x14ac:dyDescent="0.3">
      <c r="A15" s="2" t="s">
        <v>33</v>
      </c>
      <c r="B15" s="2">
        <v>4</v>
      </c>
      <c r="C15" s="2">
        <v>2</v>
      </c>
      <c r="D15" s="2">
        <v>72</v>
      </c>
      <c r="E15" s="2"/>
      <c r="F15" s="2"/>
      <c r="G15" s="2" t="s">
        <v>55</v>
      </c>
      <c r="H15" s="2" t="s">
        <v>55</v>
      </c>
      <c r="I15" s="2"/>
      <c r="J15" s="2"/>
      <c r="K15" s="2"/>
      <c r="L15" s="2"/>
      <c r="M15" s="2"/>
      <c r="N15" s="2"/>
      <c r="O15" s="2"/>
      <c r="P15" s="2"/>
    </row>
    <row r="16" spans="1:16" x14ac:dyDescent="0.3">
      <c r="A16" s="2" t="s">
        <v>34</v>
      </c>
      <c r="B16" s="2">
        <v>4</v>
      </c>
      <c r="C16" s="2">
        <v>3</v>
      </c>
      <c r="D16" s="2">
        <v>72</v>
      </c>
      <c r="E16" s="2"/>
      <c r="F16" s="2"/>
      <c r="G16" s="2" t="s">
        <v>55</v>
      </c>
      <c r="H16" s="2" t="s">
        <v>55</v>
      </c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2" t="s">
        <v>35</v>
      </c>
      <c r="B17" s="2">
        <v>4</v>
      </c>
      <c r="C17" s="2">
        <v>4</v>
      </c>
      <c r="D17" s="2">
        <v>72</v>
      </c>
      <c r="E17" s="2"/>
      <c r="F17" s="2"/>
      <c r="G17" s="2" t="s">
        <v>55</v>
      </c>
      <c r="H17" s="2" t="s">
        <v>55</v>
      </c>
      <c r="I17" s="2"/>
      <c r="J17" s="2"/>
      <c r="K17" s="2"/>
      <c r="L17" s="2"/>
      <c r="M17" s="2"/>
      <c r="N17" s="2"/>
      <c r="O17" s="2"/>
      <c r="P17" s="2"/>
    </row>
    <row r="18" spans="1:16" x14ac:dyDescent="0.3">
      <c r="A18" s="2" t="s">
        <v>36</v>
      </c>
      <c r="B18" s="2">
        <v>5</v>
      </c>
      <c r="C18" s="2">
        <v>1</v>
      </c>
      <c r="D18" s="2">
        <v>72</v>
      </c>
      <c r="E18" s="2"/>
      <c r="F18" s="2"/>
      <c r="G18" s="2" t="s">
        <v>55</v>
      </c>
      <c r="H18" s="2" t="s">
        <v>55</v>
      </c>
      <c r="I18" s="2"/>
      <c r="J18" s="2"/>
      <c r="K18" s="2"/>
      <c r="L18" s="2"/>
      <c r="M18" s="2"/>
      <c r="N18" s="2"/>
      <c r="O18" s="2"/>
      <c r="P18" s="2"/>
    </row>
    <row r="19" spans="1:16" x14ac:dyDescent="0.3">
      <c r="A19" s="2" t="s">
        <v>37</v>
      </c>
      <c r="B19" s="2">
        <v>5</v>
      </c>
      <c r="C19" s="2">
        <v>2</v>
      </c>
      <c r="D19" s="2">
        <v>72</v>
      </c>
      <c r="E19" s="2"/>
      <c r="F19" s="2"/>
      <c r="G19" s="2" t="s">
        <v>55</v>
      </c>
      <c r="H19" s="2" t="s">
        <v>55</v>
      </c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 t="s">
        <v>38</v>
      </c>
      <c r="B20" s="2">
        <v>5</v>
      </c>
      <c r="C20" s="2">
        <v>3</v>
      </c>
      <c r="D20" s="2">
        <v>72</v>
      </c>
      <c r="E20" s="2"/>
      <c r="F20" s="2"/>
      <c r="G20" s="2" t="s">
        <v>55</v>
      </c>
      <c r="H20" s="2" t="s">
        <v>55</v>
      </c>
      <c r="I20" s="2"/>
      <c r="J20" s="2"/>
      <c r="K20" s="2"/>
      <c r="L20" s="2"/>
      <c r="M20" s="2"/>
      <c r="N20" s="2"/>
      <c r="O20" s="2"/>
      <c r="P20" s="2"/>
    </row>
    <row r="21" spans="1:16" x14ac:dyDescent="0.3">
      <c r="A21" s="2" t="s">
        <v>39</v>
      </c>
      <c r="B21" s="2">
        <v>5</v>
      </c>
      <c r="C21" s="2">
        <v>4</v>
      </c>
      <c r="D21" s="2">
        <v>72</v>
      </c>
      <c r="E21" s="2"/>
      <c r="F21" s="2"/>
      <c r="G21" s="2" t="s">
        <v>55</v>
      </c>
      <c r="H21" s="2" t="s">
        <v>55</v>
      </c>
      <c r="I21" s="2"/>
      <c r="J21" s="2"/>
      <c r="K21" s="2"/>
      <c r="L21" s="2"/>
      <c r="M21" s="2"/>
      <c r="N21" s="2"/>
      <c r="O21" s="2"/>
      <c r="P21" s="2"/>
    </row>
    <row r="22" spans="1:16" x14ac:dyDescent="0.3">
      <c r="A22" s="2" t="s">
        <v>40</v>
      </c>
      <c r="B22" s="2">
        <v>6</v>
      </c>
      <c r="C22" s="2">
        <v>1</v>
      </c>
      <c r="D22" s="2">
        <v>72</v>
      </c>
      <c r="E22" s="2"/>
      <c r="F22" s="2"/>
      <c r="G22" s="2" t="s">
        <v>55</v>
      </c>
      <c r="H22" s="2" t="s">
        <v>55</v>
      </c>
      <c r="I22" s="2"/>
      <c r="J22" s="2"/>
      <c r="K22" s="2"/>
      <c r="L22" s="2"/>
      <c r="M22" s="2"/>
      <c r="N22" s="2"/>
      <c r="O22" s="2"/>
      <c r="P22" s="2"/>
    </row>
    <row r="23" spans="1:16" x14ac:dyDescent="0.3">
      <c r="A23" s="2" t="s">
        <v>41</v>
      </c>
      <c r="B23" s="2">
        <v>6</v>
      </c>
      <c r="C23" s="2">
        <v>2</v>
      </c>
      <c r="D23" s="2">
        <v>72</v>
      </c>
      <c r="E23" s="2"/>
      <c r="F23" s="2"/>
      <c r="G23" s="2" t="s">
        <v>55</v>
      </c>
      <c r="H23" s="2" t="s">
        <v>55</v>
      </c>
      <c r="I23" s="2"/>
      <c r="J23" s="2"/>
      <c r="K23" s="2"/>
      <c r="L23" s="2"/>
      <c r="M23" s="2"/>
      <c r="N23" s="2"/>
      <c r="O23" s="2"/>
      <c r="P23" s="2"/>
    </row>
    <row r="24" spans="1:16" x14ac:dyDescent="0.3">
      <c r="A24" s="2" t="s">
        <v>42</v>
      </c>
      <c r="B24" s="2">
        <v>6</v>
      </c>
      <c r="C24" s="2">
        <v>3</v>
      </c>
      <c r="D24" s="2">
        <v>72</v>
      </c>
      <c r="E24" s="2"/>
      <c r="F24" s="2"/>
      <c r="G24" s="2" t="s">
        <v>55</v>
      </c>
      <c r="H24" s="2" t="s">
        <v>55</v>
      </c>
      <c r="I24" s="2"/>
      <c r="J24" s="2"/>
      <c r="K24" s="2"/>
      <c r="L24" s="2"/>
      <c r="M24" s="2"/>
      <c r="N24" s="2"/>
      <c r="O24" s="2"/>
      <c r="P24" s="2"/>
    </row>
    <row r="25" spans="1:16" x14ac:dyDescent="0.3">
      <c r="A25" s="2" t="s">
        <v>43</v>
      </c>
      <c r="B25" s="2">
        <v>6</v>
      </c>
      <c r="C25" s="2">
        <v>4</v>
      </c>
      <c r="D25" s="2">
        <v>72</v>
      </c>
      <c r="E25" s="2"/>
      <c r="F25" s="2"/>
      <c r="G25" s="2" t="s">
        <v>55</v>
      </c>
      <c r="H25" s="2" t="s">
        <v>55</v>
      </c>
      <c r="I25" s="2"/>
      <c r="J25" s="2"/>
      <c r="K25" s="2"/>
      <c r="L25" s="2"/>
      <c r="M25" s="2"/>
      <c r="N25" s="2"/>
      <c r="O25" s="2"/>
      <c r="P25" s="2"/>
    </row>
    <row r="26" spans="1:16" x14ac:dyDescent="0.3">
      <c r="A26" s="2" t="s">
        <v>18</v>
      </c>
      <c r="B26" s="2">
        <v>1</v>
      </c>
      <c r="C26" s="2">
        <v>1</v>
      </c>
      <c r="D26" s="2">
        <v>63</v>
      </c>
      <c r="E26" s="2"/>
      <c r="F26" s="2"/>
      <c r="G26" s="2" t="s">
        <v>55</v>
      </c>
      <c r="H26" s="2" t="s">
        <v>55</v>
      </c>
      <c r="I26" s="2"/>
      <c r="J26" s="2"/>
      <c r="K26" s="2"/>
      <c r="L26" s="2"/>
      <c r="M26" s="2"/>
      <c r="N26" s="2"/>
      <c r="O26" s="2"/>
      <c r="P26" s="2"/>
    </row>
    <row r="27" spans="1:16" x14ac:dyDescent="0.3">
      <c r="A27" s="2" t="s">
        <v>20</v>
      </c>
      <c r="B27" s="2">
        <v>1</v>
      </c>
      <c r="C27" s="2">
        <v>2</v>
      </c>
      <c r="D27" s="2">
        <v>63</v>
      </c>
      <c r="E27" s="2"/>
      <c r="F27" s="2"/>
      <c r="G27" s="2" t="s">
        <v>55</v>
      </c>
      <c r="H27" s="2" t="s">
        <v>55</v>
      </c>
      <c r="I27" s="2"/>
      <c r="J27" s="2"/>
      <c r="K27" s="2"/>
      <c r="L27" s="2"/>
      <c r="M27" s="2"/>
      <c r="N27" s="2"/>
      <c r="O27" s="2"/>
      <c r="P27" s="2"/>
    </row>
    <row r="28" spans="1:16" x14ac:dyDescent="0.3">
      <c r="A28" s="2" t="s">
        <v>21</v>
      </c>
      <c r="B28" s="2">
        <v>1</v>
      </c>
      <c r="C28" s="2">
        <v>3</v>
      </c>
      <c r="D28" s="2">
        <v>63</v>
      </c>
      <c r="E28" s="2"/>
      <c r="F28" s="2"/>
      <c r="G28" s="2" t="s">
        <v>55</v>
      </c>
      <c r="H28" s="2" t="s">
        <v>55</v>
      </c>
      <c r="I28" s="2"/>
      <c r="J28" s="2"/>
      <c r="K28" s="2"/>
      <c r="L28" s="2"/>
      <c r="M28" s="2"/>
      <c r="N28" s="2"/>
      <c r="O28" s="2"/>
      <c r="P28" s="2"/>
    </row>
    <row r="29" spans="1:16" x14ac:dyDescent="0.3">
      <c r="A29" s="2" t="s">
        <v>23</v>
      </c>
      <c r="B29" s="2">
        <v>1</v>
      </c>
      <c r="C29" s="2">
        <v>4</v>
      </c>
      <c r="D29" s="2">
        <v>63</v>
      </c>
      <c r="E29" s="2"/>
      <c r="F29" s="2"/>
      <c r="G29" s="2" t="s">
        <v>55</v>
      </c>
      <c r="H29" s="2" t="s">
        <v>55</v>
      </c>
      <c r="I29" s="2"/>
      <c r="J29" s="2"/>
      <c r="K29" s="2"/>
      <c r="L29" s="2"/>
      <c r="M29" s="2"/>
      <c r="N29" s="2"/>
      <c r="O29" s="2"/>
      <c r="P29" s="2"/>
    </row>
    <row r="30" spans="1:16" x14ac:dyDescent="0.3">
      <c r="A30" s="2" t="s">
        <v>24</v>
      </c>
      <c r="B30" s="2">
        <v>2</v>
      </c>
      <c r="C30" s="2">
        <v>1</v>
      </c>
      <c r="D30" s="2">
        <v>63</v>
      </c>
      <c r="E30" s="2"/>
      <c r="F30" s="2"/>
      <c r="G30" s="2" t="s">
        <v>55</v>
      </c>
      <c r="H30" s="2" t="s">
        <v>55</v>
      </c>
      <c r="I30" s="2"/>
      <c r="J30" s="2"/>
      <c r="K30" s="2"/>
      <c r="L30" s="2"/>
      <c r="M30" s="2"/>
      <c r="N30" s="2"/>
      <c r="O30" s="2"/>
      <c r="P30" s="2"/>
    </row>
    <row r="31" spans="1:16" x14ac:dyDescent="0.3">
      <c r="A31" s="2" t="s">
        <v>25</v>
      </c>
      <c r="B31" s="2">
        <v>2</v>
      </c>
      <c r="C31" s="2">
        <v>2</v>
      </c>
      <c r="D31" s="2">
        <v>63</v>
      </c>
      <c r="E31" s="2"/>
      <c r="F31" s="2"/>
      <c r="G31" s="2" t="s">
        <v>55</v>
      </c>
      <c r="H31" s="2" t="s">
        <v>55</v>
      </c>
      <c r="I31" s="2"/>
      <c r="J31" s="2"/>
      <c r="K31" s="2"/>
      <c r="L31" s="2"/>
      <c r="M31" s="2"/>
      <c r="N31" s="2"/>
      <c r="O31" s="2"/>
      <c r="P31" s="2"/>
    </row>
    <row r="32" spans="1:16" x14ac:dyDescent="0.3">
      <c r="A32" s="2" t="s">
        <v>26</v>
      </c>
      <c r="B32" s="2">
        <v>2</v>
      </c>
      <c r="C32" s="2">
        <v>3</v>
      </c>
      <c r="D32" s="2">
        <v>63</v>
      </c>
      <c r="E32" s="2"/>
      <c r="F32" s="2"/>
      <c r="G32" s="2" t="s">
        <v>55</v>
      </c>
      <c r="H32" s="2" t="s">
        <v>55</v>
      </c>
      <c r="I32" s="2"/>
      <c r="J32" s="2"/>
      <c r="K32" s="2"/>
      <c r="L32" s="2"/>
      <c r="M32" s="2"/>
      <c r="N32" s="2"/>
      <c r="O32" s="2"/>
      <c r="P32" s="2"/>
    </row>
    <row r="33" spans="1:16" x14ac:dyDescent="0.3">
      <c r="A33" s="2" t="s">
        <v>27</v>
      </c>
      <c r="B33" s="2">
        <v>2</v>
      </c>
      <c r="C33" s="2">
        <v>4</v>
      </c>
      <c r="D33" s="2">
        <v>63</v>
      </c>
      <c r="E33" s="2"/>
      <c r="F33" s="2"/>
      <c r="G33" s="2" t="s">
        <v>55</v>
      </c>
      <c r="H33" s="2" t="s">
        <v>55</v>
      </c>
      <c r="I33" s="2"/>
      <c r="J33" s="2"/>
      <c r="K33" s="2"/>
      <c r="L33" s="2"/>
      <c r="M33" s="2"/>
      <c r="N33" s="2"/>
      <c r="O33" s="2"/>
      <c r="P33" s="2"/>
    </row>
    <row r="34" spans="1:16" x14ac:dyDescent="0.3">
      <c r="A34" s="2" t="s">
        <v>28</v>
      </c>
      <c r="B34" s="2">
        <v>3</v>
      </c>
      <c r="C34" s="2">
        <v>1</v>
      </c>
      <c r="D34" s="2">
        <v>63</v>
      </c>
      <c r="E34" s="2"/>
      <c r="F34" s="2"/>
      <c r="G34" s="2" t="s">
        <v>55</v>
      </c>
      <c r="H34" s="2" t="s">
        <v>55</v>
      </c>
      <c r="I34" s="2"/>
      <c r="J34" s="2"/>
      <c r="K34" s="2"/>
      <c r="L34" s="2"/>
      <c r="M34" s="2"/>
      <c r="N34" s="2"/>
      <c r="O34" s="2"/>
      <c r="P34" s="2"/>
    </row>
    <row r="35" spans="1:16" x14ac:dyDescent="0.3">
      <c r="A35" s="2" t="s">
        <v>29</v>
      </c>
      <c r="B35" s="2">
        <v>3</v>
      </c>
      <c r="C35" s="2">
        <v>2</v>
      </c>
      <c r="D35" s="2">
        <v>63</v>
      </c>
      <c r="E35" s="2"/>
      <c r="F35" s="2"/>
      <c r="G35" s="2" t="s">
        <v>55</v>
      </c>
      <c r="H35" s="2" t="s">
        <v>55</v>
      </c>
      <c r="I35" s="2"/>
      <c r="J35" s="2"/>
      <c r="K35" s="2"/>
      <c r="L35" s="2"/>
      <c r="M35" s="2"/>
      <c r="N35" s="2"/>
      <c r="O35" s="2"/>
      <c r="P35" s="2"/>
    </row>
    <row r="36" spans="1:16" x14ac:dyDescent="0.3">
      <c r="A36" s="2" t="s">
        <v>30</v>
      </c>
      <c r="B36" s="2">
        <v>3</v>
      </c>
      <c r="C36" s="2">
        <v>3</v>
      </c>
      <c r="D36" s="2">
        <v>63</v>
      </c>
      <c r="E36" s="2"/>
      <c r="F36" s="2"/>
      <c r="G36" s="2" t="s">
        <v>55</v>
      </c>
      <c r="H36" s="2" t="s">
        <v>55</v>
      </c>
      <c r="I36" s="2"/>
      <c r="J36" s="2"/>
      <c r="K36" s="2"/>
      <c r="L36" s="2"/>
      <c r="M36" s="2"/>
      <c r="N36" s="2"/>
      <c r="O36" s="2"/>
      <c r="P36" s="2"/>
    </row>
    <row r="37" spans="1:16" x14ac:dyDescent="0.3">
      <c r="A37" s="2" t="s">
        <v>31</v>
      </c>
      <c r="B37" s="2">
        <v>3</v>
      </c>
      <c r="C37" s="2">
        <v>4</v>
      </c>
      <c r="D37" s="2">
        <v>63</v>
      </c>
      <c r="E37" s="2"/>
      <c r="F37" s="2"/>
      <c r="G37" s="2" t="s">
        <v>55</v>
      </c>
      <c r="H37" s="2" t="s">
        <v>55</v>
      </c>
      <c r="I37" s="2"/>
      <c r="J37" s="2"/>
      <c r="K37" s="2"/>
      <c r="L37" s="2"/>
      <c r="M37" s="2"/>
      <c r="N37" s="2"/>
      <c r="O37" s="2"/>
      <c r="P37" s="2"/>
    </row>
    <row r="38" spans="1:16" x14ac:dyDescent="0.3">
      <c r="A38" s="2" t="s">
        <v>32</v>
      </c>
      <c r="B38" s="2">
        <v>4</v>
      </c>
      <c r="C38" s="2">
        <v>1</v>
      </c>
      <c r="D38" s="2">
        <v>63</v>
      </c>
      <c r="E38" s="2"/>
      <c r="F38" s="2"/>
      <c r="G38" s="2" t="s">
        <v>55</v>
      </c>
      <c r="H38" s="2" t="s">
        <v>55</v>
      </c>
      <c r="I38" s="2"/>
      <c r="J38" s="2"/>
      <c r="K38" s="2"/>
      <c r="L38" s="2"/>
      <c r="M38" s="2"/>
      <c r="N38" s="2"/>
      <c r="O38" s="2"/>
      <c r="P38" s="2"/>
    </row>
    <row r="39" spans="1:16" x14ac:dyDescent="0.3">
      <c r="A39" s="2" t="s">
        <v>33</v>
      </c>
      <c r="B39" s="2">
        <v>4</v>
      </c>
      <c r="C39" s="2">
        <v>2</v>
      </c>
      <c r="D39" s="2">
        <v>63</v>
      </c>
      <c r="E39" s="2"/>
      <c r="F39" s="2"/>
      <c r="G39" s="2" t="s">
        <v>55</v>
      </c>
      <c r="H39" s="2" t="s">
        <v>55</v>
      </c>
      <c r="I39" s="2"/>
      <c r="J39" s="2"/>
      <c r="K39" s="2"/>
      <c r="L39" s="2"/>
      <c r="M39" s="2"/>
      <c r="N39" s="2"/>
      <c r="O39" s="2"/>
      <c r="P39" s="2"/>
    </row>
    <row r="40" spans="1:16" x14ac:dyDescent="0.3">
      <c r="A40" s="2" t="s">
        <v>34</v>
      </c>
      <c r="B40" s="2">
        <v>4</v>
      </c>
      <c r="C40" s="2">
        <v>3</v>
      </c>
      <c r="D40" s="2">
        <v>63</v>
      </c>
      <c r="E40" s="2"/>
      <c r="F40" s="2"/>
      <c r="G40" s="2" t="s">
        <v>55</v>
      </c>
      <c r="H40" s="2" t="s">
        <v>55</v>
      </c>
      <c r="I40" s="2"/>
      <c r="J40" s="2"/>
      <c r="K40" s="2"/>
      <c r="L40" s="2"/>
      <c r="M40" s="2"/>
      <c r="N40" s="2"/>
      <c r="O40" s="2"/>
      <c r="P40" s="2"/>
    </row>
    <row r="41" spans="1:16" x14ac:dyDescent="0.3">
      <c r="A41" s="2" t="s">
        <v>35</v>
      </c>
      <c r="B41" s="2">
        <v>4</v>
      </c>
      <c r="C41" s="2">
        <v>4</v>
      </c>
      <c r="D41" s="2">
        <v>63</v>
      </c>
      <c r="E41" s="2"/>
      <c r="F41" s="2"/>
      <c r="G41" s="2" t="s">
        <v>55</v>
      </c>
      <c r="H41" s="2" t="s">
        <v>55</v>
      </c>
      <c r="I41" s="2"/>
      <c r="J41" s="2"/>
      <c r="K41" s="2"/>
      <c r="L41" s="2"/>
      <c r="M41" s="2"/>
      <c r="N41" s="2"/>
      <c r="O41" s="2"/>
      <c r="P41" s="2"/>
    </row>
    <row r="42" spans="1:16" x14ac:dyDescent="0.3">
      <c r="A42" s="2" t="s">
        <v>36</v>
      </c>
      <c r="B42" s="2">
        <v>5</v>
      </c>
      <c r="C42" s="2">
        <v>1</v>
      </c>
      <c r="D42" s="2">
        <v>63</v>
      </c>
      <c r="E42" s="2"/>
      <c r="F42" s="2"/>
      <c r="G42" s="2" t="s">
        <v>55</v>
      </c>
      <c r="H42" s="2" t="s">
        <v>55</v>
      </c>
      <c r="I42" s="2"/>
      <c r="J42" s="2"/>
      <c r="K42" s="2"/>
      <c r="L42" s="2"/>
      <c r="M42" s="2"/>
      <c r="N42" s="2"/>
      <c r="O42" s="2"/>
      <c r="P42" s="2"/>
    </row>
    <row r="43" spans="1:16" x14ac:dyDescent="0.3">
      <c r="A43" s="2" t="s">
        <v>37</v>
      </c>
      <c r="B43" s="2">
        <v>5</v>
      </c>
      <c r="C43" s="2">
        <v>2</v>
      </c>
      <c r="D43" s="2">
        <v>63</v>
      </c>
      <c r="E43" s="2"/>
      <c r="F43" s="2"/>
      <c r="G43" s="2" t="s">
        <v>55</v>
      </c>
      <c r="H43" s="2" t="s">
        <v>55</v>
      </c>
      <c r="I43" s="2"/>
      <c r="J43" s="2"/>
      <c r="K43" s="2"/>
      <c r="L43" s="2"/>
      <c r="M43" s="2"/>
      <c r="N43" s="2"/>
      <c r="O43" s="2"/>
      <c r="P43" s="2"/>
    </row>
    <row r="44" spans="1:16" x14ac:dyDescent="0.3">
      <c r="A44" s="2" t="s">
        <v>38</v>
      </c>
      <c r="B44" s="2">
        <v>5</v>
      </c>
      <c r="C44" s="2">
        <v>3</v>
      </c>
      <c r="D44" s="2">
        <v>63</v>
      </c>
      <c r="E44" s="2"/>
      <c r="F44" s="2"/>
      <c r="G44" s="2" t="s">
        <v>55</v>
      </c>
      <c r="H44" s="2" t="s">
        <v>55</v>
      </c>
      <c r="I44" s="2"/>
      <c r="J44" s="2"/>
      <c r="K44" s="2"/>
      <c r="L44" s="2"/>
      <c r="M44" s="2"/>
      <c r="N44" s="2"/>
      <c r="O44" s="2"/>
      <c r="P44" s="2"/>
    </row>
    <row r="45" spans="1:16" x14ac:dyDescent="0.3">
      <c r="A45" s="2" t="s">
        <v>39</v>
      </c>
      <c r="B45" s="2">
        <v>5</v>
      </c>
      <c r="C45" s="2">
        <v>4</v>
      </c>
      <c r="D45" s="2">
        <v>63</v>
      </c>
      <c r="E45" s="2"/>
      <c r="F45" s="2"/>
      <c r="G45" s="2" t="s">
        <v>55</v>
      </c>
      <c r="H45" s="2" t="s">
        <v>55</v>
      </c>
      <c r="I45" s="2"/>
      <c r="J45" s="2"/>
      <c r="K45" s="2"/>
      <c r="L45" s="2"/>
      <c r="M45" s="2"/>
      <c r="N45" s="2"/>
      <c r="O45" s="2"/>
      <c r="P45" s="2"/>
    </row>
    <row r="46" spans="1:16" x14ac:dyDescent="0.3">
      <c r="A46" s="2" t="s">
        <v>40</v>
      </c>
      <c r="B46" s="2">
        <v>6</v>
      </c>
      <c r="C46" s="2">
        <v>1</v>
      </c>
      <c r="D46" s="2">
        <v>63</v>
      </c>
      <c r="E46" s="2"/>
      <c r="F46" s="2"/>
      <c r="G46" s="2" t="s">
        <v>55</v>
      </c>
      <c r="H46" s="2" t="s">
        <v>55</v>
      </c>
      <c r="I46" s="2"/>
      <c r="J46" s="2"/>
      <c r="K46" s="2"/>
      <c r="L46" s="2"/>
      <c r="M46" s="2"/>
      <c r="N46" s="2"/>
      <c r="O46" s="2"/>
      <c r="P46" s="2"/>
    </row>
    <row r="47" spans="1:16" x14ac:dyDescent="0.3">
      <c r="A47" s="2" t="s">
        <v>41</v>
      </c>
      <c r="B47" s="2">
        <v>6</v>
      </c>
      <c r="C47" s="2">
        <v>2</v>
      </c>
      <c r="D47" s="2">
        <v>63</v>
      </c>
      <c r="E47" s="2"/>
      <c r="F47" s="2"/>
      <c r="G47" s="2" t="s">
        <v>55</v>
      </c>
      <c r="H47" s="2" t="s">
        <v>55</v>
      </c>
      <c r="I47" s="2"/>
      <c r="J47" s="2"/>
      <c r="K47" s="2"/>
      <c r="L47" s="2"/>
      <c r="M47" s="2"/>
      <c r="N47" s="2"/>
      <c r="O47" s="2"/>
      <c r="P47" s="2"/>
    </row>
    <row r="48" spans="1:16" x14ac:dyDescent="0.3">
      <c r="A48" s="2" t="s">
        <v>42</v>
      </c>
      <c r="B48" s="2">
        <v>6</v>
      </c>
      <c r="C48" s="2">
        <v>3</v>
      </c>
      <c r="D48" s="2">
        <v>63</v>
      </c>
      <c r="E48" s="2"/>
      <c r="F48" s="2"/>
      <c r="G48" s="2" t="s">
        <v>55</v>
      </c>
      <c r="H48" s="2" t="s">
        <v>55</v>
      </c>
      <c r="I48" s="2"/>
      <c r="J48" s="2"/>
      <c r="K48" s="2"/>
      <c r="L48" s="2"/>
      <c r="M48" s="2"/>
      <c r="N48" s="2"/>
      <c r="O48" s="2"/>
      <c r="P48" s="2"/>
    </row>
    <row r="49" spans="1:16" x14ac:dyDescent="0.3">
      <c r="A49" s="2" t="s">
        <v>43</v>
      </c>
      <c r="B49" s="2">
        <v>6</v>
      </c>
      <c r="C49" s="2">
        <v>4</v>
      </c>
      <c r="D49" s="2">
        <v>63</v>
      </c>
      <c r="E49" s="2"/>
      <c r="F49" s="2"/>
      <c r="G49" s="2" t="s">
        <v>55</v>
      </c>
      <c r="H49" s="2" t="s">
        <v>55</v>
      </c>
      <c r="I49" s="2"/>
      <c r="J49" s="2"/>
      <c r="K49" s="2"/>
      <c r="L49" s="2"/>
      <c r="M49" s="2"/>
      <c r="N49" s="2"/>
      <c r="O49" s="2"/>
      <c r="P49" s="2"/>
    </row>
    <row r="50" spans="1:16" x14ac:dyDescent="0.3">
      <c r="A50" s="2" t="s">
        <v>18</v>
      </c>
      <c r="B50" s="2">
        <v>1</v>
      </c>
      <c r="C50" s="2">
        <v>1</v>
      </c>
      <c r="D50" s="2">
        <v>54</v>
      </c>
      <c r="E50" s="2"/>
      <c r="F50" s="2"/>
      <c r="G50" s="2" t="s">
        <v>55</v>
      </c>
      <c r="H50" s="2" t="s">
        <v>55</v>
      </c>
      <c r="I50" s="2"/>
      <c r="J50" s="2"/>
      <c r="K50" s="2"/>
      <c r="L50" s="2"/>
      <c r="M50" s="2"/>
      <c r="N50" s="2"/>
      <c r="O50" s="2"/>
      <c r="P50" s="2"/>
    </row>
    <row r="51" spans="1:16" x14ac:dyDescent="0.3">
      <c r="A51" s="2" t="s">
        <v>20</v>
      </c>
      <c r="B51" s="2">
        <v>1</v>
      </c>
      <c r="C51" s="2">
        <v>2</v>
      </c>
      <c r="D51" s="2">
        <v>54</v>
      </c>
      <c r="E51" s="2"/>
      <c r="F51" s="2"/>
      <c r="G51" s="2" t="s">
        <v>55</v>
      </c>
      <c r="H51" s="2" t="s">
        <v>55</v>
      </c>
      <c r="I51" s="2"/>
      <c r="J51" s="2"/>
      <c r="K51" s="2"/>
      <c r="L51" s="2"/>
      <c r="M51" s="2"/>
      <c r="N51" s="2"/>
      <c r="O51" s="2"/>
      <c r="P51" s="2"/>
    </row>
    <row r="52" spans="1:16" x14ac:dyDescent="0.3">
      <c r="A52" s="2" t="s">
        <v>21</v>
      </c>
      <c r="B52" s="2">
        <v>1</v>
      </c>
      <c r="C52" s="2">
        <v>3</v>
      </c>
      <c r="D52" s="2">
        <v>54</v>
      </c>
      <c r="E52" s="2"/>
      <c r="F52" s="2"/>
      <c r="G52" s="2" t="s">
        <v>55</v>
      </c>
      <c r="H52" s="2" t="s">
        <v>55</v>
      </c>
      <c r="I52" s="2"/>
      <c r="J52" s="2"/>
      <c r="K52" s="2"/>
      <c r="L52" s="2"/>
      <c r="M52" s="2"/>
      <c r="N52" s="2"/>
      <c r="O52" s="2"/>
      <c r="P52" s="2"/>
    </row>
    <row r="53" spans="1:16" x14ac:dyDescent="0.3">
      <c r="A53" s="2" t="s">
        <v>23</v>
      </c>
      <c r="B53" s="2">
        <v>1</v>
      </c>
      <c r="C53" s="2">
        <v>4</v>
      </c>
      <c r="D53" s="2">
        <v>54</v>
      </c>
      <c r="E53" s="2"/>
      <c r="F53" s="2"/>
      <c r="G53" s="2" t="s">
        <v>55</v>
      </c>
      <c r="H53" s="2" t="s">
        <v>55</v>
      </c>
      <c r="I53" s="2"/>
      <c r="J53" s="2"/>
      <c r="K53" s="2"/>
      <c r="L53" s="2"/>
      <c r="M53" s="2"/>
      <c r="N53" s="2"/>
      <c r="O53" s="2"/>
      <c r="P53" s="2"/>
    </row>
    <row r="54" spans="1:16" x14ac:dyDescent="0.3">
      <c r="A54" s="2" t="s">
        <v>24</v>
      </c>
      <c r="B54" s="2">
        <v>2</v>
      </c>
      <c r="C54" s="2">
        <v>1</v>
      </c>
      <c r="D54" s="2">
        <v>54</v>
      </c>
      <c r="E54" s="2"/>
      <c r="F54" s="2"/>
      <c r="G54" s="2" t="s">
        <v>55</v>
      </c>
      <c r="H54" s="2" t="s">
        <v>55</v>
      </c>
      <c r="I54" s="2"/>
      <c r="J54" s="2"/>
      <c r="K54" s="2"/>
      <c r="L54" s="2"/>
      <c r="M54" s="2"/>
      <c r="N54" s="2"/>
      <c r="O54" s="2"/>
      <c r="P54" s="2"/>
    </row>
    <row r="55" spans="1:16" x14ac:dyDescent="0.3">
      <c r="A55" s="2" t="s">
        <v>25</v>
      </c>
      <c r="B55" s="2">
        <v>2</v>
      </c>
      <c r="C55" s="2">
        <v>2</v>
      </c>
      <c r="D55" s="2">
        <v>54</v>
      </c>
      <c r="E55" s="2"/>
      <c r="F55" s="2"/>
      <c r="G55" s="2" t="s">
        <v>55</v>
      </c>
      <c r="H55" s="2" t="s">
        <v>55</v>
      </c>
      <c r="I55" s="2"/>
      <c r="J55" s="2"/>
      <c r="K55" s="2"/>
      <c r="L55" s="2"/>
      <c r="M55" s="2"/>
      <c r="N55" s="2"/>
      <c r="O55" s="2"/>
      <c r="P55" s="2"/>
    </row>
    <row r="56" spans="1:16" x14ac:dyDescent="0.3">
      <c r="A56" s="2" t="s">
        <v>26</v>
      </c>
      <c r="B56" s="2">
        <v>2</v>
      </c>
      <c r="C56" s="2">
        <v>3</v>
      </c>
      <c r="D56" s="2">
        <v>54</v>
      </c>
      <c r="E56" s="2"/>
      <c r="F56" s="2"/>
      <c r="G56" s="2" t="s">
        <v>55</v>
      </c>
      <c r="H56" s="2" t="s">
        <v>55</v>
      </c>
      <c r="I56" s="2"/>
      <c r="J56" s="2"/>
      <c r="K56" s="2"/>
      <c r="L56" s="2"/>
      <c r="M56" s="2"/>
      <c r="N56" s="2"/>
      <c r="O56" s="2"/>
      <c r="P56" s="2"/>
    </row>
    <row r="57" spans="1:16" x14ac:dyDescent="0.3">
      <c r="A57" s="2" t="s">
        <v>27</v>
      </c>
      <c r="B57" s="2">
        <v>2</v>
      </c>
      <c r="C57" s="2">
        <v>4</v>
      </c>
      <c r="D57" s="2">
        <v>54</v>
      </c>
      <c r="E57" s="2"/>
      <c r="F57" s="2"/>
      <c r="G57" s="2" t="s">
        <v>55</v>
      </c>
      <c r="H57" s="2" t="s">
        <v>55</v>
      </c>
      <c r="I57" s="2"/>
      <c r="J57" s="2"/>
      <c r="K57" s="2"/>
      <c r="L57" s="2"/>
      <c r="M57" s="2"/>
      <c r="N57" s="2"/>
      <c r="O57" s="2"/>
      <c r="P57" s="2"/>
    </row>
    <row r="58" spans="1:16" x14ac:dyDescent="0.3">
      <c r="A58" s="2" t="s">
        <v>28</v>
      </c>
      <c r="B58" s="2">
        <v>3</v>
      </c>
      <c r="C58" s="2">
        <v>1</v>
      </c>
      <c r="D58" s="2">
        <v>54</v>
      </c>
      <c r="E58" s="2"/>
      <c r="F58" s="2"/>
      <c r="G58" s="2" t="s">
        <v>55</v>
      </c>
      <c r="H58" s="2" t="s">
        <v>55</v>
      </c>
      <c r="I58" s="2"/>
      <c r="J58" s="2"/>
      <c r="K58" s="2"/>
      <c r="L58" s="2"/>
      <c r="M58" s="2"/>
      <c r="N58" s="2"/>
      <c r="O58" s="2"/>
      <c r="P58" s="2"/>
    </row>
    <row r="59" spans="1:16" x14ac:dyDescent="0.3">
      <c r="A59" s="2" t="s">
        <v>29</v>
      </c>
      <c r="B59" s="2">
        <v>3</v>
      </c>
      <c r="C59" s="2">
        <v>2</v>
      </c>
      <c r="D59" s="2">
        <v>54</v>
      </c>
      <c r="E59" s="2"/>
      <c r="F59" s="2"/>
      <c r="G59" s="2" t="s">
        <v>55</v>
      </c>
      <c r="H59" s="2" t="s">
        <v>55</v>
      </c>
      <c r="I59" s="2"/>
      <c r="J59" s="2"/>
      <c r="K59" s="2"/>
      <c r="L59" s="2"/>
      <c r="M59" s="2"/>
      <c r="N59" s="2"/>
      <c r="O59" s="2"/>
      <c r="P59" s="2"/>
    </row>
    <row r="60" spans="1:16" x14ac:dyDescent="0.3">
      <c r="A60" s="2" t="s">
        <v>30</v>
      </c>
      <c r="B60" s="2">
        <v>3</v>
      </c>
      <c r="C60" s="2">
        <v>3</v>
      </c>
      <c r="D60" s="2">
        <v>54</v>
      </c>
      <c r="E60" s="2"/>
      <c r="F60" s="2"/>
      <c r="G60" s="2" t="s">
        <v>55</v>
      </c>
      <c r="H60" s="2" t="s">
        <v>55</v>
      </c>
      <c r="I60" s="2"/>
      <c r="J60" s="2"/>
      <c r="K60" s="2"/>
      <c r="L60" s="2"/>
      <c r="M60" s="2"/>
      <c r="N60" s="2"/>
      <c r="O60" s="2"/>
      <c r="P60" s="2"/>
    </row>
    <row r="61" spans="1:16" x14ac:dyDescent="0.3">
      <c r="A61" s="2" t="s">
        <v>31</v>
      </c>
      <c r="B61" s="2">
        <v>3</v>
      </c>
      <c r="C61" s="2">
        <v>4</v>
      </c>
      <c r="D61" s="2">
        <v>54</v>
      </c>
      <c r="E61" s="2"/>
      <c r="F61" s="2"/>
      <c r="G61" s="2" t="s">
        <v>55</v>
      </c>
      <c r="H61" s="2" t="s">
        <v>55</v>
      </c>
      <c r="I61" s="2"/>
      <c r="J61" s="2"/>
      <c r="K61" s="2"/>
      <c r="L61" s="2"/>
      <c r="M61" s="2"/>
      <c r="N61" s="2"/>
      <c r="O61" s="2"/>
      <c r="P61" s="2"/>
    </row>
    <row r="62" spans="1:16" x14ac:dyDescent="0.3">
      <c r="A62" s="2" t="s">
        <v>32</v>
      </c>
      <c r="B62" s="2">
        <v>4</v>
      </c>
      <c r="C62" s="2">
        <v>1</v>
      </c>
      <c r="D62" s="2">
        <v>54</v>
      </c>
      <c r="E62" s="2"/>
      <c r="F62" s="2"/>
      <c r="G62" s="2" t="s">
        <v>55</v>
      </c>
      <c r="H62" s="2" t="s">
        <v>55</v>
      </c>
      <c r="I62" s="2"/>
      <c r="J62" s="2"/>
      <c r="K62" s="2"/>
      <c r="L62" s="2"/>
      <c r="M62" s="2"/>
      <c r="N62" s="2"/>
      <c r="O62" s="2"/>
      <c r="P62" s="2"/>
    </row>
    <row r="63" spans="1:16" x14ac:dyDescent="0.3">
      <c r="A63" s="2" t="s">
        <v>33</v>
      </c>
      <c r="B63" s="2">
        <v>4</v>
      </c>
      <c r="C63" s="2">
        <v>2</v>
      </c>
      <c r="D63" s="2">
        <v>54</v>
      </c>
      <c r="E63" s="2"/>
      <c r="F63" s="2"/>
      <c r="G63" s="2" t="s">
        <v>55</v>
      </c>
      <c r="H63" s="2" t="s">
        <v>55</v>
      </c>
      <c r="I63" s="2"/>
      <c r="J63" s="2"/>
      <c r="K63" s="2"/>
      <c r="L63" s="2"/>
      <c r="M63" s="2"/>
      <c r="N63" s="2"/>
      <c r="O63" s="2"/>
      <c r="P63" s="2"/>
    </row>
    <row r="64" spans="1:16" x14ac:dyDescent="0.3">
      <c r="A64" s="2" t="s">
        <v>34</v>
      </c>
      <c r="B64" s="2">
        <v>4</v>
      </c>
      <c r="C64" s="2">
        <v>3</v>
      </c>
      <c r="D64" s="2">
        <v>54</v>
      </c>
      <c r="E64" s="2"/>
      <c r="F64" s="2"/>
      <c r="G64" s="2" t="s">
        <v>55</v>
      </c>
      <c r="H64" s="2" t="s">
        <v>55</v>
      </c>
      <c r="I64" s="2"/>
      <c r="J64" s="2"/>
      <c r="K64" s="2"/>
      <c r="L64" s="2"/>
      <c r="M64" s="2"/>
      <c r="N64" s="2"/>
      <c r="O64" s="2"/>
      <c r="P64" s="2"/>
    </row>
    <row r="65" spans="1:16" x14ac:dyDescent="0.3">
      <c r="A65" s="2" t="s">
        <v>35</v>
      </c>
      <c r="B65" s="2">
        <v>4</v>
      </c>
      <c r="C65" s="2">
        <v>4</v>
      </c>
      <c r="D65" s="2">
        <v>54</v>
      </c>
      <c r="E65" s="2"/>
      <c r="F65" s="2"/>
      <c r="G65" s="2" t="s">
        <v>55</v>
      </c>
      <c r="H65" s="2" t="s">
        <v>55</v>
      </c>
      <c r="I65" s="2"/>
      <c r="J65" s="2"/>
      <c r="K65" s="2"/>
      <c r="L65" s="2"/>
      <c r="M65" s="2"/>
      <c r="N65" s="2"/>
      <c r="O65" s="2"/>
      <c r="P65" s="2"/>
    </row>
    <row r="66" spans="1:16" x14ac:dyDescent="0.3">
      <c r="A66" s="2" t="s">
        <v>36</v>
      </c>
      <c r="B66" s="2">
        <v>5</v>
      </c>
      <c r="C66" s="2">
        <v>1</v>
      </c>
      <c r="D66" s="2">
        <v>54</v>
      </c>
      <c r="E66" s="2"/>
      <c r="F66" s="2"/>
      <c r="G66" s="2" t="s">
        <v>55</v>
      </c>
      <c r="H66" s="2" t="s">
        <v>55</v>
      </c>
      <c r="I66" s="2"/>
      <c r="J66" s="2"/>
      <c r="K66" s="2"/>
      <c r="L66" s="2"/>
      <c r="M66" s="2"/>
      <c r="N66" s="2"/>
      <c r="O66" s="2"/>
      <c r="P66" s="2"/>
    </row>
    <row r="67" spans="1:16" x14ac:dyDescent="0.3">
      <c r="A67" s="2" t="s">
        <v>37</v>
      </c>
      <c r="B67" s="2">
        <v>5</v>
      </c>
      <c r="C67" s="2">
        <v>2</v>
      </c>
      <c r="D67" s="2">
        <v>54</v>
      </c>
      <c r="E67" s="2"/>
      <c r="F67" s="2"/>
      <c r="G67" s="2" t="s">
        <v>55</v>
      </c>
      <c r="H67" s="2" t="s">
        <v>55</v>
      </c>
      <c r="I67" s="2"/>
      <c r="J67" s="2"/>
      <c r="K67" s="2"/>
      <c r="L67" s="2"/>
      <c r="M67" s="2"/>
      <c r="N67" s="2"/>
      <c r="O67" s="2"/>
      <c r="P67" s="2"/>
    </row>
    <row r="68" spans="1:16" x14ac:dyDescent="0.3">
      <c r="A68" s="2" t="s">
        <v>38</v>
      </c>
      <c r="B68" s="2">
        <v>5</v>
      </c>
      <c r="C68" s="2">
        <v>3</v>
      </c>
      <c r="D68" s="2">
        <v>54</v>
      </c>
      <c r="E68" s="2"/>
      <c r="F68" s="2"/>
      <c r="G68" s="2" t="s">
        <v>55</v>
      </c>
      <c r="H68" s="2" t="s">
        <v>55</v>
      </c>
      <c r="I68" s="2"/>
      <c r="J68" s="2"/>
      <c r="K68" s="2"/>
      <c r="L68" s="2"/>
      <c r="M68" s="2"/>
      <c r="N68" s="2"/>
      <c r="O68" s="2"/>
      <c r="P68" s="2"/>
    </row>
    <row r="69" spans="1:16" x14ac:dyDescent="0.3">
      <c r="A69" s="2" t="s">
        <v>39</v>
      </c>
      <c r="B69" s="2">
        <v>5</v>
      </c>
      <c r="C69" s="2">
        <v>4</v>
      </c>
      <c r="D69" s="2">
        <v>54</v>
      </c>
      <c r="E69" s="2"/>
      <c r="F69" s="2"/>
      <c r="G69" s="2" t="s">
        <v>55</v>
      </c>
      <c r="H69" s="2" t="s">
        <v>55</v>
      </c>
      <c r="I69" s="2"/>
      <c r="J69" s="2"/>
      <c r="K69" s="2"/>
      <c r="L69" s="2"/>
      <c r="M69" s="2"/>
      <c r="N69" s="2"/>
      <c r="O69" s="2"/>
      <c r="P69" s="2"/>
    </row>
    <row r="70" spans="1:16" x14ac:dyDescent="0.3">
      <c r="A70" s="2" t="s">
        <v>40</v>
      </c>
      <c r="B70" s="2">
        <v>6</v>
      </c>
      <c r="C70" s="2">
        <v>1</v>
      </c>
      <c r="D70" s="2">
        <v>54</v>
      </c>
      <c r="E70" s="2"/>
      <c r="F70" s="2"/>
      <c r="G70" s="2" t="s">
        <v>55</v>
      </c>
      <c r="H70" s="2" t="s">
        <v>55</v>
      </c>
      <c r="I70" s="2"/>
      <c r="J70" s="2"/>
      <c r="K70" s="2"/>
      <c r="L70" s="2"/>
      <c r="M70" s="2"/>
      <c r="N70" s="2"/>
      <c r="O70" s="2"/>
      <c r="P70" s="2"/>
    </row>
    <row r="71" spans="1:16" x14ac:dyDescent="0.3">
      <c r="A71" s="2" t="s">
        <v>41</v>
      </c>
      <c r="B71" s="2">
        <v>6</v>
      </c>
      <c r="C71" s="2">
        <v>2</v>
      </c>
      <c r="D71" s="2">
        <v>54</v>
      </c>
      <c r="E71" s="2"/>
      <c r="F71" s="2"/>
      <c r="G71" s="2" t="s">
        <v>55</v>
      </c>
      <c r="H71" s="2" t="s">
        <v>55</v>
      </c>
      <c r="I71" s="2"/>
      <c r="J71" s="2"/>
      <c r="K71" s="2"/>
      <c r="L71" s="2"/>
      <c r="M71" s="2"/>
      <c r="N71" s="2"/>
      <c r="O71" s="2"/>
      <c r="P71" s="2"/>
    </row>
    <row r="72" spans="1:16" x14ac:dyDescent="0.3">
      <c r="A72" s="2" t="s">
        <v>42</v>
      </c>
      <c r="B72" s="2">
        <v>6</v>
      </c>
      <c r="C72" s="2">
        <v>3</v>
      </c>
      <c r="D72" s="2">
        <v>54</v>
      </c>
      <c r="E72" s="2"/>
      <c r="F72" s="2"/>
      <c r="G72" s="2" t="s">
        <v>55</v>
      </c>
      <c r="H72" s="2" t="s">
        <v>55</v>
      </c>
      <c r="I72" s="2"/>
      <c r="J72" s="2"/>
      <c r="K72" s="2"/>
      <c r="L72" s="2"/>
      <c r="M72" s="2"/>
      <c r="N72" s="2"/>
      <c r="O72" s="2"/>
      <c r="P72" s="2"/>
    </row>
    <row r="73" spans="1:16" x14ac:dyDescent="0.3">
      <c r="A73" s="2" t="s">
        <v>43</v>
      </c>
      <c r="B73" s="2">
        <v>6</v>
      </c>
      <c r="C73" s="2">
        <v>4</v>
      </c>
      <c r="D73" s="2">
        <v>54</v>
      </c>
      <c r="E73" s="2"/>
      <c r="F73" s="2"/>
      <c r="G73" s="2" t="s">
        <v>55</v>
      </c>
      <c r="H73" s="2" t="s">
        <v>55</v>
      </c>
      <c r="I73" s="2"/>
      <c r="J73" s="2"/>
      <c r="K73" s="2"/>
      <c r="L73" s="2"/>
      <c r="M73" s="2"/>
      <c r="N73" s="2"/>
      <c r="O73" s="2"/>
      <c r="P73" s="2"/>
    </row>
    <row r="74" spans="1:16" x14ac:dyDescent="0.3">
      <c r="A74" s="2" t="s">
        <v>18</v>
      </c>
      <c r="B74" s="2">
        <v>1</v>
      </c>
      <c r="C74" s="2">
        <v>1</v>
      </c>
      <c r="D74" s="2">
        <v>45</v>
      </c>
      <c r="E74" s="2"/>
      <c r="F74" s="2"/>
      <c r="G74" s="2" t="s">
        <v>55</v>
      </c>
      <c r="H74" s="2" t="s">
        <v>55</v>
      </c>
      <c r="I74" s="2"/>
      <c r="J74" s="2"/>
      <c r="K74" s="2"/>
      <c r="L74" s="2"/>
      <c r="M74" s="2"/>
      <c r="N74" s="2"/>
      <c r="O74" s="2"/>
      <c r="P74" s="2"/>
    </row>
    <row r="75" spans="1:16" x14ac:dyDescent="0.3">
      <c r="A75" s="2" t="s">
        <v>20</v>
      </c>
      <c r="B75" s="2">
        <v>1</v>
      </c>
      <c r="C75" s="2">
        <v>2</v>
      </c>
      <c r="D75" s="2">
        <v>45</v>
      </c>
      <c r="E75" s="2"/>
      <c r="F75" s="2"/>
      <c r="G75" s="2" t="s">
        <v>55</v>
      </c>
      <c r="H75" s="2" t="s">
        <v>55</v>
      </c>
      <c r="I75" s="2"/>
      <c r="J75" s="2"/>
      <c r="K75" s="2"/>
      <c r="L75" s="2"/>
      <c r="M75" s="2"/>
      <c r="N75" s="2"/>
      <c r="O75" s="2"/>
      <c r="P75" s="2"/>
    </row>
    <row r="76" spans="1:16" x14ac:dyDescent="0.3">
      <c r="A76" s="2" t="s">
        <v>21</v>
      </c>
      <c r="B76" s="2">
        <v>1</v>
      </c>
      <c r="C76" s="2">
        <v>3</v>
      </c>
      <c r="D76" s="2">
        <v>45</v>
      </c>
      <c r="E76" s="2"/>
      <c r="F76" s="2"/>
      <c r="G76" s="2" t="s">
        <v>55</v>
      </c>
      <c r="H76" s="2" t="s">
        <v>55</v>
      </c>
      <c r="I76" s="2"/>
      <c r="J76" s="2"/>
      <c r="K76" s="2"/>
      <c r="L76" s="2"/>
      <c r="M76" s="2"/>
      <c r="N76" s="2"/>
      <c r="O76" s="2"/>
      <c r="P76" s="2"/>
    </row>
    <row r="77" spans="1:16" x14ac:dyDescent="0.3">
      <c r="A77" s="2" t="s">
        <v>23</v>
      </c>
      <c r="B77" s="2">
        <v>1</v>
      </c>
      <c r="C77" s="2">
        <v>4</v>
      </c>
      <c r="D77" s="2">
        <v>45</v>
      </c>
      <c r="E77" s="2"/>
      <c r="F77" s="2"/>
      <c r="G77" s="2" t="s">
        <v>55</v>
      </c>
      <c r="H77" s="2" t="s">
        <v>55</v>
      </c>
      <c r="I77" s="2"/>
      <c r="J77" s="2"/>
      <c r="K77" s="2"/>
      <c r="L77" s="2"/>
      <c r="M77" s="2"/>
      <c r="N77" s="2"/>
      <c r="O77" s="2"/>
      <c r="P77" s="2"/>
    </row>
    <row r="78" spans="1:16" x14ac:dyDescent="0.3">
      <c r="A78" s="2" t="s">
        <v>24</v>
      </c>
      <c r="B78" s="2">
        <v>2</v>
      </c>
      <c r="C78" s="2">
        <v>1</v>
      </c>
      <c r="D78" s="2">
        <v>45</v>
      </c>
      <c r="E78" s="2"/>
      <c r="F78" s="2"/>
      <c r="G78" s="2" t="s">
        <v>55</v>
      </c>
      <c r="H78" s="2" t="s">
        <v>55</v>
      </c>
      <c r="I78" s="2"/>
      <c r="J78" s="2"/>
      <c r="K78" s="2"/>
      <c r="L78" s="2"/>
      <c r="M78" s="2"/>
      <c r="N78" s="2"/>
      <c r="O78" s="2"/>
      <c r="P78" s="2"/>
    </row>
    <row r="79" spans="1:16" x14ac:dyDescent="0.3">
      <c r="A79" s="2" t="s">
        <v>25</v>
      </c>
      <c r="B79" s="2">
        <v>2</v>
      </c>
      <c r="C79" s="2">
        <v>2</v>
      </c>
      <c r="D79" s="2">
        <v>45</v>
      </c>
      <c r="E79" s="2"/>
      <c r="F79" s="2"/>
      <c r="G79" s="2" t="s">
        <v>55</v>
      </c>
      <c r="H79" s="2" t="s">
        <v>55</v>
      </c>
      <c r="I79" s="2"/>
      <c r="J79" s="2"/>
      <c r="K79" s="2"/>
      <c r="L79" s="2"/>
      <c r="M79" s="2"/>
      <c r="N79" s="2"/>
      <c r="O79" s="2"/>
      <c r="P79" s="2"/>
    </row>
    <row r="80" spans="1:16" x14ac:dyDescent="0.3">
      <c r="A80" s="2" t="s">
        <v>26</v>
      </c>
      <c r="B80" s="2">
        <v>2</v>
      </c>
      <c r="C80" s="2">
        <v>3</v>
      </c>
      <c r="D80" s="2">
        <v>45</v>
      </c>
      <c r="E80" s="2"/>
      <c r="F80" s="2"/>
      <c r="G80" s="2" t="s">
        <v>55</v>
      </c>
      <c r="H80" s="2" t="s">
        <v>55</v>
      </c>
      <c r="I80" s="2"/>
      <c r="J80" s="2"/>
      <c r="K80" s="2"/>
      <c r="L80" s="2"/>
      <c r="M80" s="2"/>
      <c r="N80" s="2"/>
      <c r="O80" s="2"/>
      <c r="P80" s="2"/>
    </row>
    <row r="81" spans="1:16" x14ac:dyDescent="0.3">
      <c r="A81" s="2" t="s">
        <v>27</v>
      </c>
      <c r="B81" s="2">
        <v>2</v>
      </c>
      <c r="C81" s="2">
        <v>4</v>
      </c>
      <c r="D81" s="2">
        <v>45</v>
      </c>
      <c r="E81" s="2"/>
      <c r="F81" s="2"/>
      <c r="G81" s="2" t="s">
        <v>55</v>
      </c>
      <c r="H81" s="2" t="s">
        <v>55</v>
      </c>
      <c r="I81" s="2"/>
      <c r="J81" s="2"/>
      <c r="K81" s="2"/>
      <c r="L81" s="2"/>
      <c r="M81" s="2"/>
      <c r="N81" s="2"/>
      <c r="O81" s="2"/>
      <c r="P81" s="2"/>
    </row>
    <row r="82" spans="1:16" x14ac:dyDescent="0.3">
      <c r="A82" s="2" t="s">
        <v>28</v>
      </c>
      <c r="B82" s="2">
        <v>3</v>
      </c>
      <c r="C82" s="2">
        <v>1</v>
      </c>
      <c r="D82" s="2">
        <v>45</v>
      </c>
      <c r="E82" s="2"/>
      <c r="F82" s="2"/>
      <c r="G82" s="2" t="s">
        <v>55</v>
      </c>
      <c r="H82" s="2" t="s">
        <v>55</v>
      </c>
      <c r="I82" s="2"/>
      <c r="J82" s="2"/>
      <c r="K82" s="2"/>
      <c r="L82" s="2"/>
      <c r="M82" s="2"/>
      <c r="N82" s="2"/>
      <c r="O82" s="2"/>
      <c r="P82" s="2"/>
    </row>
    <row r="83" spans="1:16" x14ac:dyDescent="0.3">
      <c r="A83" s="2" t="s">
        <v>29</v>
      </c>
      <c r="B83" s="2">
        <v>3</v>
      </c>
      <c r="C83" s="2">
        <v>2</v>
      </c>
      <c r="D83" s="2">
        <v>45</v>
      </c>
      <c r="E83" s="2"/>
      <c r="F83" s="2"/>
      <c r="G83" s="2" t="s">
        <v>55</v>
      </c>
      <c r="H83" s="2" t="s">
        <v>55</v>
      </c>
      <c r="I83" s="2"/>
      <c r="J83" s="2"/>
      <c r="K83" s="2"/>
      <c r="L83" s="2"/>
      <c r="M83" s="2"/>
      <c r="N83" s="2"/>
      <c r="O83" s="2"/>
      <c r="P83" s="2"/>
    </row>
    <row r="84" spans="1:16" x14ac:dyDescent="0.3">
      <c r="A84" s="2" t="s">
        <v>30</v>
      </c>
      <c r="B84" s="2">
        <v>3</v>
      </c>
      <c r="C84" s="2">
        <v>3</v>
      </c>
      <c r="D84" s="2">
        <v>45</v>
      </c>
      <c r="E84" s="2"/>
      <c r="F84" s="2"/>
      <c r="G84" s="2" t="s">
        <v>55</v>
      </c>
      <c r="H84" s="2" t="s">
        <v>55</v>
      </c>
      <c r="I84" s="2"/>
      <c r="J84" s="2"/>
      <c r="K84" s="2"/>
      <c r="L84" s="2"/>
      <c r="M84" s="2"/>
      <c r="N84" s="2"/>
      <c r="O84" s="2"/>
      <c r="P84" s="2"/>
    </row>
    <row r="85" spans="1:16" x14ac:dyDescent="0.3">
      <c r="A85" s="2" t="s">
        <v>31</v>
      </c>
      <c r="B85" s="2">
        <v>3</v>
      </c>
      <c r="C85" s="2">
        <v>4</v>
      </c>
      <c r="D85" s="2">
        <v>45</v>
      </c>
      <c r="E85" s="2"/>
      <c r="F85" s="2"/>
      <c r="G85" s="2" t="s">
        <v>55</v>
      </c>
      <c r="H85" s="2" t="s">
        <v>55</v>
      </c>
      <c r="I85" s="2"/>
      <c r="J85" s="2"/>
      <c r="K85" s="2"/>
      <c r="L85" s="2"/>
      <c r="M85" s="2"/>
      <c r="N85" s="2"/>
      <c r="O85" s="2"/>
      <c r="P85" s="2"/>
    </row>
    <row r="86" spans="1:16" x14ac:dyDescent="0.3">
      <c r="A86" s="2" t="s">
        <v>32</v>
      </c>
      <c r="B86" s="2">
        <v>4</v>
      </c>
      <c r="C86" s="2">
        <v>1</v>
      </c>
      <c r="D86" s="2">
        <v>45</v>
      </c>
      <c r="E86" s="2"/>
      <c r="F86" s="2"/>
      <c r="G86" s="2" t="s">
        <v>55</v>
      </c>
      <c r="H86" s="2" t="s">
        <v>55</v>
      </c>
      <c r="I86" s="2"/>
      <c r="J86" s="2"/>
      <c r="K86" s="2"/>
      <c r="L86" s="2"/>
      <c r="M86" s="2"/>
      <c r="N86" s="2"/>
      <c r="O86" s="2"/>
      <c r="P86" s="2"/>
    </row>
    <row r="87" spans="1:16" x14ac:dyDescent="0.3">
      <c r="A87" s="2" t="s">
        <v>33</v>
      </c>
      <c r="B87" s="2">
        <v>4</v>
      </c>
      <c r="C87" s="2">
        <v>2</v>
      </c>
      <c r="D87" s="2">
        <v>45</v>
      </c>
      <c r="E87" s="2"/>
      <c r="F87" s="2"/>
      <c r="G87" s="2" t="s">
        <v>55</v>
      </c>
      <c r="H87" s="2" t="s">
        <v>55</v>
      </c>
      <c r="I87" s="2"/>
      <c r="J87" s="2"/>
      <c r="K87" s="2"/>
      <c r="L87" s="2"/>
      <c r="M87" s="2"/>
      <c r="N87" s="2"/>
      <c r="O87" s="2"/>
      <c r="P87" s="2"/>
    </row>
    <row r="88" spans="1:16" x14ac:dyDescent="0.3">
      <c r="A88" s="2" t="s">
        <v>34</v>
      </c>
      <c r="B88" s="2">
        <v>4</v>
      </c>
      <c r="C88" s="2">
        <v>3</v>
      </c>
      <c r="D88" s="2">
        <v>45</v>
      </c>
      <c r="E88" s="2"/>
      <c r="F88" s="2"/>
      <c r="G88" s="2" t="s">
        <v>55</v>
      </c>
      <c r="H88" s="2" t="s">
        <v>55</v>
      </c>
      <c r="I88" s="2"/>
      <c r="J88" s="2"/>
      <c r="K88" s="2"/>
      <c r="L88" s="2"/>
      <c r="M88" s="2"/>
      <c r="N88" s="2"/>
      <c r="O88" s="2"/>
      <c r="P88" s="2"/>
    </row>
    <row r="89" spans="1:16" x14ac:dyDescent="0.3">
      <c r="A89" s="2" t="s">
        <v>35</v>
      </c>
      <c r="B89" s="2">
        <v>4</v>
      </c>
      <c r="C89" s="2">
        <v>4</v>
      </c>
      <c r="D89" s="2">
        <v>45</v>
      </c>
      <c r="E89" s="2"/>
      <c r="F89" s="2"/>
      <c r="G89" s="2" t="s">
        <v>55</v>
      </c>
      <c r="H89" s="2" t="s">
        <v>55</v>
      </c>
      <c r="I89" s="2"/>
      <c r="J89" s="2"/>
      <c r="K89" s="2"/>
      <c r="L89" s="2"/>
      <c r="M89" s="2"/>
      <c r="N89" s="2"/>
      <c r="O89" s="2"/>
      <c r="P89" s="2"/>
    </row>
    <row r="90" spans="1:16" x14ac:dyDescent="0.3">
      <c r="A90" s="2" t="s">
        <v>36</v>
      </c>
      <c r="B90" s="2">
        <v>5</v>
      </c>
      <c r="C90" s="2">
        <v>1</v>
      </c>
      <c r="D90" s="2">
        <v>45</v>
      </c>
      <c r="E90" s="2"/>
      <c r="F90" s="2"/>
      <c r="G90" s="2" t="s">
        <v>55</v>
      </c>
      <c r="H90" s="2" t="s">
        <v>55</v>
      </c>
      <c r="I90" s="2"/>
      <c r="J90" s="2"/>
      <c r="K90" s="2"/>
      <c r="L90" s="2"/>
      <c r="M90" s="2"/>
      <c r="N90" s="2"/>
      <c r="O90" s="2"/>
      <c r="P90" s="2"/>
    </row>
    <row r="91" spans="1:16" x14ac:dyDescent="0.3">
      <c r="A91" s="2" t="s">
        <v>37</v>
      </c>
      <c r="B91" s="2">
        <v>5</v>
      </c>
      <c r="C91" s="2">
        <v>2</v>
      </c>
      <c r="D91" s="2">
        <v>45</v>
      </c>
      <c r="E91" s="2"/>
      <c r="F91" s="2"/>
      <c r="G91" s="2" t="s">
        <v>55</v>
      </c>
      <c r="H91" s="2" t="s">
        <v>55</v>
      </c>
      <c r="I91" s="2"/>
      <c r="J91" s="2"/>
      <c r="K91" s="2"/>
      <c r="L91" s="2"/>
      <c r="M91" s="2"/>
      <c r="N91" s="2"/>
      <c r="O91" s="2"/>
      <c r="P91" s="2"/>
    </row>
    <row r="92" spans="1:16" x14ac:dyDescent="0.3">
      <c r="A92" s="2" t="s">
        <v>38</v>
      </c>
      <c r="B92" s="2">
        <v>5</v>
      </c>
      <c r="C92" s="2">
        <v>3</v>
      </c>
      <c r="D92" s="2">
        <v>45</v>
      </c>
      <c r="E92" s="2"/>
      <c r="F92" s="2"/>
      <c r="G92" s="2" t="s">
        <v>55</v>
      </c>
      <c r="H92" s="2" t="s">
        <v>55</v>
      </c>
      <c r="I92" s="2"/>
      <c r="J92" s="2"/>
      <c r="K92" s="2"/>
      <c r="L92" s="2"/>
      <c r="M92" s="2"/>
      <c r="N92" s="2"/>
      <c r="O92" s="2"/>
      <c r="P92" s="2"/>
    </row>
    <row r="93" spans="1:16" x14ac:dyDescent="0.3">
      <c r="A93" s="2" t="s">
        <v>39</v>
      </c>
      <c r="B93" s="2">
        <v>5</v>
      </c>
      <c r="C93" s="2">
        <v>4</v>
      </c>
      <c r="D93" s="2">
        <v>45</v>
      </c>
      <c r="E93" s="2"/>
      <c r="F93" s="2"/>
      <c r="G93" s="2" t="s">
        <v>55</v>
      </c>
      <c r="H93" s="2" t="s">
        <v>55</v>
      </c>
      <c r="I93" s="2"/>
      <c r="J93" s="2"/>
      <c r="K93" s="2"/>
      <c r="L93" s="2"/>
      <c r="M93" s="2"/>
      <c r="N93" s="2"/>
      <c r="O93" s="2"/>
      <c r="P93" s="2"/>
    </row>
    <row r="94" spans="1:16" x14ac:dyDescent="0.3">
      <c r="A94" s="2" t="s">
        <v>40</v>
      </c>
      <c r="B94" s="2">
        <v>6</v>
      </c>
      <c r="C94" s="2">
        <v>1</v>
      </c>
      <c r="D94" s="2">
        <v>45</v>
      </c>
      <c r="E94" s="2"/>
      <c r="F94" s="2"/>
      <c r="G94" s="2" t="s">
        <v>55</v>
      </c>
      <c r="H94" s="2" t="s">
        <v>55</v>
      </c>
      <c r="I94" s="2"/>
      <c r="J94" s="2"/>
      <c r="K94" s="2"/>
      <c r="L94" s="2"/>
      <c r="M94" s="2"/>
      <c r="N94" s="2"/>
      <c r="O94" s="2"/>
      <c r="P94" s="2"/>
    </row>
    <row r="95" spans="1:16" x14ac:dyDescent="0.3">
      <c r="A95" s="2" t="s">
        <v>41</v>
      </c>
      <c r="B95" s="2">
        <v>6</v>
      </c>
      <c r="C95" s="2">
        <v>2</v>
      </c>
      <c r="D95" s="2">
        <v>45</v>
      </c>
      <c r="E95" s="2"/>
      <c r="F95" s="2"/>
      <c r="G95" s="2" t="s">
        <v>55</v>
      </c>
      <c r="H95" s="2" t="s">
        <v>55</v>
      </c>
      <c r="I95" s="2"/>
      <c r="J95" s="2"/>
      <c r="K95" s="2"/>
      <c r="L95" s="2"/>
      <c r="M95" s="2"/>
      <c r="N95" s="2"/>
      <c r="O95" s="2"/>
      <c r="P95" s="2"/>
    </row>
    <row r="96" spans="1:16" x14ac:dyDescent="0.3">
      <c r="A96" s="2" t="s">
        <v>42</v>
      </c>
      <c r="B96" s="2">
        <v>6</v>
      </c>
      <c r="C96" s="2">
        <v>3</v>
      </c>
      <c r="D96" s="2">
        <v>45</v>
      </c>
      <c r="E96" s="2"/>
      <c r="F96" s="2"/>
      <c r="G96" s="2" t="s">
        <v>55</v>
      </c>
      <c r="H96" s="2" t="s">
        <v>55</v>
      </c>
      <c r="I96" s="2"/>
      <c r="J96" s="2"/>
      <c r="K96" s="2"/>
      <c r="L96" s="2"/>
      <c r="M96" s="2"/>
      <c r="N96" s="2"/>
      <c r="O96" s="2"/>
      <c r="P96" s="2"/>
    </row>
    <row r="97" spans="1:16" x14ac:dyDescent="0.3">
      <c r="A97" s="2" t="s">
        <v>43</v>
      </c>
      <c r="B97" s="2">
        <v>6</v>
      </c>
      <c r="C97" s="2">
        <v>4</v>
      </c>
      <c r="D97" s="2">
        <v>45</v>
      </c>
      <c r="E97" s="2"/>
      <c r="F97" s="2"/>
      <c r="G97" s="2" t="s">
        <v>55</v>
      </c>
      <c r="H97" s="2" t="s">
        <v>55</v>
      </c>
      <c r="I97" s="2"/>
      <c r="J97" s="2"/>
      <c r="K97" s="2"/>
      <c r="L97" s="2"/>
      <c r="M97" s="2"/>
      <c r="N97" s="2"/>
      <c r="O97" s="2"/>
      <c r="P97" s="2"/>
    </row>
    <row r="98" spans="1:16" x14ac:dyDescent="0.3">
      <c r="A98" s="2" t="s">
        <v>18</v>
      </c>
      <c r="B98" s="2">
        <v>1</v>
      </c>
      <c r="C98" s="2">
        <v>1</v>
      </c>
      <c r="D98" s="2">
        <v>36</v>
      </c>
      <c r="E98" s="2">
        <v>-52467.501600000018</v>
      </c>
      <c r="F98" s="2">
        <v>2983.7931777777781</v>
      </c>
      <c r="G98" s="2" t="s">
        <v>56</v>
      </c>
      <c r="H98" s="2" t="s">
        <v>19</v>
      </c>
      <c r="I98" s="2">
        <v>145.19</v>
      </c>
      <c r="J98" s="2">
        <v>348.23399999999998</v>
      </c>
      <c r="K98" s="2">
        <v>240</v>
      </c>
      <c r="L98" s="2">
        <v>240</v>
      </c>
      <c r="M98" s="2">
        <v>18</v>
      </c>
      <c r="N98" s="2">
        <v>8.57</v>
      </c>
      <c r="O98" s="2">
        <v>74.010000000000005</v>
      </c>
      <c r="P98" s="2">
        <v>45.71</v>
      </c>
    </row>
    <row r="99" spans="1:16" x14ac:dyDescent="0.3">
      <c r="A99" s="2" t="s">
        <v>20</v>
      </c>
      <c r="B99" s="2">
        <v>1</v>
      </c>
      <c r="C99" s="2">
        <v>2</v>
      </c>
      <c r="D99" s="2">
        <v>36</v>
      </c>
      <c r="E99" s="2">
        <v>50104.955399999992</v>
      </c>
      <c r="F99" s="2">
        <v>4971.161427777778</v>
      </c>
      <c r="G99" s="2" t="s">
        <v>56</v>
      </c>
      <c r="H99" s="2" t="s">
        <v>19</v>
      </c>
      <c r="I99" s="2">
        <v>175.03800000000001</v>
      </c>
      <c r="J99" s="2">
        <v>119.52200000000001</v>
      </c>
      <c r="K99" s="2">
        <v>240</v>
      </c>
      <c r="L99" s="2">
        <v>240</v>
      </c>
      <c r="M99" s="2">
        <v>18</v>
      </c>
      <c r="N99" s="2">
        <v>52.5</v>
      </c>
      <c r="O99" s="2">
        <v>68.67</v>
      </c>
      <c r="P99" s="2">
        <v>23.75</v>
      </c>
    </row>
    <row r="100" spans="1:16" x14ac:dyDescent="0.3">
      <c r="A100" s="2" t="s">
        <v>21</v>
      </c>
      <c r="B100" s="2">
        <v>1</v>
      </c>
      <c r="C100" s="2">
        <v>3</v>
      </c>
      <c r="D100" s="2">
        <v>36</v>
      </c>
      <c r="E100" s="2">
        <v>128466.11629999999</v>
      </c>
      <c r="F100" s="2">
        <v>6595.3270083333327</v>
      </c>
      <c r="G100" s="2" t="s">
        <v>56</v>
      </c>
      <c r="H100" s="2" t="s">
        <v>22</v>
      </c>
      <c r="I100" s="2">
        <v>226.43620000000001</v>
      </c>
      <c r="J100" s="2">
        <v>5.1601999999999997</v>
      </c>
      <c r="K100" s="2">
        <v>240</v>
      </c>
      <c r="L100" s="2">
        <v>240</v>
      </c>
      <c r="M100" s="2">
        <v>18</v>
      </c>
      <c r="N100" s="2">
        <v>96.94</v>
      </c>
      <c r="O100" s="2">
        <v>59.47</v>
      </c>
      <c r="P100" s="2">
        <v>1.53</v>
      </c>
    </row>
    <row r="101" spans="1:16" x14ac:dyDescent="0.3">
      <c r="A101" s="2" t="s">
        <v>23</v>
      </c>
      <c r="B101" s="2">
        <v>1</v>
      </c>
      <c r="C101" s="2">
        <v>4</v>
      </c>
      <c r="D101" s="2">
        <v>36</v>
      </c>
      <c r="E101" s="2">
        <v>173525.14739999999</v>
      </c>
      <c r="F101" s="2">
        <v>7631.5000944444446</v>
      </c>
      <c r="G101" s="2" t="s">
        <v>56</v>
      </c>
      <c r="H101" s="2" t="s">
        <v>22</v>
      </c>
      <c r="I101" s="2">
        <v>285.916</v>
      </c>
      <c r="J101" s="2">
        <v>0</v>
      </c>
      <c r="K101" s="2">
        <v>240</v>
      </c>
      <c r="L101" s="2">
        <v>240</v>
      </c>
      <c r="M101" s="2">
        <v>18</v>
      </c>
      <c r="N101" s="2">
        <v>100</v>
      </c>
      <c r="O101" s="2">
        <v>48.83</v>
      </c>
      <c r="P101" s="2">
        <v>0</v>
      </c>
    </row>
    <row r="102" spans="1:16" x14ac:dyDescent="0.3">
      <c r="A102" s="2" t="s">
        <v>24</v>
      </c>
      <c r="B102" s="2">
        <v>2</v>
      </c>
      <c r="C102" s="2">
        <v>1</v>
      </c>
      <c r="D102" s="2">
        <v>36</v>
      </c>
      <c r="E102" s="2">
        <v>-12221.099700000021</v>
      </c>
      <c r="F102" s="2">
        <v>3673.1654527777769</v>
      </c>
      <c r="G102" s="2" t="s">
        <v>56</v>
      </c>
      <c r="H102" s="2" t="s">
        <v>19</v>
      </c>
      <c r="I102" s="2">
        <v>182.62020000000001</v>
      </c>
      <c r="J102" s="2">
        <v>282.80419999999998</v>
      </c>
      <c r="K102" s="2">
        <v>240</v>
      </c>
      <c r="L102" s="2">
        <v>240</v>
      </c>
      <c r="M102" s="2">
        <v>18</v>
      </c>
      <c r="N102" s="2">
        <v>14.16</v>
      </c>
      <c r="O102" s="2">
        <v>67.31</v>
      </c>
      <c r="P102" s="2">
        <v>42.92</v>
      </c>
    </row>
    <row r="103" spans="1:16" x14ac:dyDescent="0.3">
      <c r="A103" s="2" t="s">
        <v>25</v>
      </c>
      <c r="B103" s="2">
        <v>2</v>
      </c>
      <c r="C103" s="2">
        <v>2</v>
      </c>
      <c r="D103" s="2">
        <v>36</v>
      </c>
      <c r="E103" s="2">
        <v>95925.266399999993</v>
      </c>
      <c r="F103" s="2">
        <v>5815.3645111111109</v>
      </c>
      <c r="G103" s="2" t="s">
        <v>56</v>
      </c>
      <c r="H103" s="2" t="s">
        <v>22</v>
      </c>
      <c r="I103" s="2">
        <v>237.28399999999999</v>
      </c>
      <c r="J103" s="2">
        <v>78.908000000000001</v>
      </c>
      <c r="K103" s="2">
        <v>240</v>
      </c>
      <c r="L103" s="2">
        <v>240</v>
      </c>
      <c r="M103" s="2">
        <v>18</v>
      </c>
      <c r="N103" s="2">
        <v>60.58</v>
      </c>
      <c r="O103" s="2">
        <v>57.53</v>
      </c>
      <c r="P103" s="2">
        <v>19.71</v>
      </c>
    </row>
    <row r="104" spans="1:16" x14ac:dyDescent="0.3">
      <c r="A104" s="2" t="s">
        <v>26</v>
      </c>
      <c r="B104" s="2">
        <v>2</v>
      </c>
      <c r="C104" s="2">
        <v>3</v>
      </c>
      <c r="D104" s="2">
        <v>36</v>
      </c>
      <c r="E104" s="2">
        <v>185409.65539999999</v>
      </c>
      <c r="F104" s="2">
        <v>7748.5086499999998</v>
      </c>
      <c r="G104" s="2" t="s">
        <v>56</v>
      </c>
      <c r="H104" s="2" t="s">
        <v>22</v>
      </c>
      <c r="I104" s="2">
        <v>324.13600000000002</v>
      </c>
      <c r="J104" s="2">
        <v>0</v>
      </c>
      <c r="K104" s="2">
        <v>240</v>
      </c>
      <c r="L104" s="2">
        <v>240</v>
      </c>
      <c r="M104" s="2">
        <v>18</v>
      </c>
      <c r="N104" s="2">
        <v>100</v>
      </c>
      <c r="O104" s="2">
        <v>41.99</v>
      </c>
      <c r="P104" s="2">
        <v>0</v>
      </c>
    </row>
    <row r="105" spans="1:16" x14ac:dyDescent="0.3">
      <c r="A105" s="2" t="s">
        <v>27</v>
      </c>
      <c r="B105" s="2">
        <v>2</v>
      </c>
      <c r="C105" s="2">
        <v>4</v>
      </c>
      <c r="D105" s="2">
        <v>36</v>
      </c>
      <c r="E105" s="2">
        <v>232659.19140000001</v>
      </c>
      <c r="F105" s="2">
        <v>8845.5290944444459</v>
      </c>
      <c r="G105" s="2" t="s">
        <v>56</v>
      </c>
      <c r="H105" s="2" t="s">
        <v>22</v>
      </c>
      <c r="I105" s="2">
        <v>388.77600000000001</v>
      </c>
      <c r="J105" s="2">
        <v>0</v>
      </c>
      <c r="K105" s="2">
        <v>240</v>
      </c>
      <c r="L105" s="2">
        <v>240</v>
      </c>
      <c r="M105" s="2">
        <v>18</v>
      </c>
      <c r="N105" s="2">
        <v>100</v>
      </c>
      <c r="O105" s="2">
        <v>30.42</v>
      </c>
      <c r="P105" s="2">
        <v>0</v>
      </c>
    </row>
    <row r="106" spans="1:16" x14ac:dyDescent="0.3">
      <c r="A106" s="2" t="s">
        <v>28</v>
      </c>
      <c r="B106" s="2">
        <v>3</v>
      </c>
      <c r="C106" s="2">
        <v>1</v>
      </c>
      <c r="D106" s="2">
        <v>36</v>
      </c>
      <c r="E106" s="2">
        <v>-65681.68200000003</v>
      </c>
      <c r="F106" s="2">
        <v>2696.2159444444442</v>
      </c>
      <c r="G106" s="2" t="s">
        <v>56</v>
      </c>
      <c r="H106" s="2" t="s">
        <v>19</v>
      </c>
      <c r="I106" s="2">
        <v>122.99</v>
      </c>
      <c r="J106" s="2">
        <v>345.11</v>
      </c>
      <c r="K106" s="2">
        <v>240</v>
      </c>
      <c r="L106" s="2">
        <v>240</v>
      </c>
      <c r="M106" s="2">
        <v>18</v>
      </c>
      <c r="N106" s="2">
        <v>11.61</v>
      </c>
      <c r="O106" s="2">
        <v>77.989999999999995</v>
      </c>
      <c r="P106" s="2">
        <v>44.2</v>
      </c>
    </row>
    <row r="107" spans="1:16" x14ac:dyDescent="0.3">
      <c r="A107" s="2" t="s">
        <v>29</v>
      </c>
      <c r="B107" s="2">
        <v>3</v>
      </c>
      <c r="C107" s="2">
        <v>2</v>
      </c>
      <c r="D107" s="2">
        <v>36</v>
      </c>
      <c r="E107" s="2">
        <v>38138.610999999997</v>
      </c>
      <c r="F107" s="2">
        <v>4718.2463055555554</v>
      </c>
      <c r="G107" s="2" t="s">
        <v>56</v>
      </c>
      <c r="H107" s="2" t="s">
        <v>19</v>
      </c>
      <c r="I107" s="2">
        <v>153.68600000000001</v>
      </c>
      <c r="J107" s="2">
        <v>117.246</v>
      </c>
      <c r="K107" s="2">
        <v>240</v>
      </c>
      <c r="L107" s="2">
        <v>240</v>
      </c>
      <c r="M107" s="2">
        <v>18</v>
      </c>
      <c r="N107" s="2">
        <v>55.1</v>
      </c>
      <c r="O107" s="2">
        <v>72.489999999999995</v>
      </c>
      <c r="P107" s="2">
        <v>22.45</v>
      </c>
    </row>
    <row r="108" spans="1:16" x14ac:dyDescent="0.3">
      <c r="A108" s="2" t="s">
        <v>30</v>
      </c>
      <c r="B108" s="2">
        <v>3</v>
      </c>
      <c r="C108" s="2">
        <v>3</v>
      </c>
      <c r="D108" s="2">
        <v>36</v>
      </c>
      <c r="E108" s="2">
        <v>115597.2219</v>
      </c>
      <c r="F108" s="2">
        <v>6317.3410527777778</v>
      </c>
      <c r="G108" s="2" t="s">
        <v>56</v>
      </c>
      <c r="H108" s="2" t="s">
        <v>22</v>
      </c>
      <c r="I108" s="2">
        <v>203.54419999999999</v>
      </c>
      <c r="J108" s="2">
        <v>1.3442000000000001</v>
      </c>
      <c r="K108" s="2">
        <v>240</v>
      </c>
      <c r="L108" s="2">
        <v>240</v>
      </c>
      <c r="M108" s="2">
        <v>18</v>
      </c>
      <c r="N108" s="2">
        <v>99.25</v>
      </c>
      <c r="O108" s="2">
        <v>63.57</v>
      </c>
      <c r="P108" s="2">
        <v>0.38</v>
      </c>
    </row>
    <row r="109" spans="1:16" x14ac:dyDescent="0.3">
      <c r="A109" s="2" t="s">
        <v>31</v>
      </c>
      <c r="B109" s="2">
        <v>3</v>
      </c>
      <c r="C109" s="2">
        <v>4</v>
      </c>
      <c r="D109" s="2">
        <v>36</v>
      </c>
      <c r="E109" s="2">
        <v>162276.14499999999</v>
      </c>
      <c r="F109" s="2">
        <v>7398.511138888889</v>
      </c>
      <c r="G109" s="2" t="s">
        <v>56</v>
      </c>
      <c r="H109" s="2" t="s">
        <v>22</v>
      </c>
      <c r="I109" s="2">
        <v>266.83999999999997</v>
      </c>
      <c r="J109" s="2">
        <v>0</v>
      </c>
      <c r="K109" s="2">
        <v>240</v>
      </c>
      <c r="L109" s="2">
        <v>240</v>
      </c>
      <c r="M109" s="2">
        <v>18</v>
      </c>
      <c r="N109" s="2">
        <v>100</v>
      </c>
      <c r="O109" s="2">
        <v>52.24</v>
      </c>
      <c r="P109" s="2">
        <v>0</v>
      </c>
    </row>
    <row r="110" spans="1:16" x14ac:dyDescent="0.3">
      <c r="A110" s="2" t="s">
        <v>32</v>
      </c>
      <c r="B110" s="2">
        <v>4</v>
      </c>
      <c r="C110" s="2">
        <v>1</v>
      </c>
      <c r="D110" s="2">
        <v>36</v>
      </c>
      <c r="E110" s="2">
        <v>-101752.57249999999</v>
      </c>
      <c r="F110" s="2">
        <v>2094.5967638888892</v>
      </c>
      <c r="G110" s="2" t="s">
        <v>56</v>
      </c>
      <c r="H110" s="2" t="s">
        <v>19</v>
      </c>
      <c r="I110" s="2">
        <v>103.4178</v>
      </c>
      <c r="J110" s="2">
        <v>421.62180000000001</v>
      </c>
      <c r="K110" s="2">
        <v>240</v>
      </c>
      <c r="L110" s="2">
        <v>240</v>
      </c>
      <c r="M110" s="2">
        <v>18</v>
      </c>
      <c r="N110" s="2">
        <v>3.84</v>
      </c>
      <c r="O110" s="2">
        <v>81.489999999999995</v>
      </c>
      <c r="P110" s="2">
        <v>48.08</v>
      </c>
    </row>
    <row r="111" spans="1:16" x14ac:dyDescent="0.3">
      <c r="A111" s="2" t="s">
        <v>33</v>
      </c>
      <c r="B111" s="2">
        <v>4</v>
      </c>
      <c r="C111" s="2">
        <v>2</v>
      </c>
      <c r="D111" s="2">
        <v>36</v>
      </c>
      <c r="E111" s="2">
        <v>-1991.564500000012</v>
      </c>
      <c r="F111" s="2">
        <v>4003.8692083333322</v>
      </c>
      <c r="G111" s="2" t="s">
        <v>56</v>
      </c>
      <c r="H111" s="2" t="s">
        <v>19</v>
      </c>
      <c r="I111" s="2">
        <v>108.24979999999999</v>
      </c>
      <c r="J111" s="2">
        <v>167.8938</v>
      </c>
      <c r="K111" s="2">
        <v>240</v>
      </c>
      <c r="L111" s="2">
        <v>240</v>
      </c>
      <c r="M111" s="2">
        <v>18</v>
      </c>
      <c r="N111" s="2">
        <v>45.7</v>
      </c>
      <c r="O111" s="2">
        <v>80.63</v>
      </c>
      <c r="P111" s="2">
        <v>27.15</v>
      </c>
    </row>
    <row r="112" spans="1:16" x14ac:dyDescent="0.3">
      <c r="A112" s="2" t="s">
        <v>34</v>
      </c>
      <c r="B112" s="2">
        <v>4</v>
      </c>
      <c r="C112" s="2">
        <v>3</v>
      </c>
      <c r="D112" s="2">
        <v>36</v>
      </c>
      <c r="E112" s="2">
        <v>68713.373500000002</v>
      </c>
      <c r="F112" s="2">
        <v>5415.3619305555549</v>
      </c>
      <c r="G112" s="2" t="s">
        <v>56</v>
      </c>
      <c r="H112" s="2" t="s">
        <v>22</v>
      </c>
      <c r="I112" s="2">
        <v>130.13980000000001</v>
      </c>
      <c r="J112" s="2">
        <v>24.023800000000001</v>
      </c>
      <c r="K112" s="2">
        <v>240</v>
      </c>
      <c r="L112" s="2">
        <v>240</v>
      </c>
      <c r="M112" s="2">
        <v>18</v>
      </c>
      <c r="N112" s="2">
        <v>89.38</v>
      </c>
      <c r="O112" s="2">
        <v>76.709999999999994</v>
      </c>
      <c r="P112" s="2">
        <v>5.31</v>
      </c>
    </row>
    <row r="113" spans="1:16" x14ac:dyDescent="0.3">
      <c r="A113" s="2" t="s">
        <v>35</v>
      </c>
      <c r="B113" s="2">
        <v>4</v>
      </c>
      <c r="C113" s="2">
        <v>4</v>
      </c>
      <c r="D113" s="2">
        <v>36</v>
      </c>
      <c r="E113" s="2">
        <v>111438.2066</v>
      </c>
      <c r="F113" s="2">
        <v>6386.6961833333326</v>
      </c>
      <c r="G113" s="2" t="s">
        <v>56</v>
      </c>
      <c r="H113" s="2" t="s">
        <v>22</v>
      </c>
      <c r="I113" s="2">
        <v>179.11760000000001</v>
      </c>
      <c r="J113" s="2">
        <v>8.361600000000001</v>
      </c>
      <c r="K113" s="2">
        <v>240</v>
      </c>
      <c r="L113" s="2">
        <v>240</v>
      </c>
      <c r="M113" s="2">
        <v>18</v>
      </c>
      <c r="N113" s="2">
        <v>95.69</v>
      </c>
      <c r="O113" s="2">
        <v>67.94</v>
      </c>
      <c r="P113" s="2">
        <v>2.16</v>
      </c>
    </row>
    <row r="114" spans="1:16" x14ac:dyDescent="0.3">
      <c r="A114" s="2" t="s">
        <v>36</v>
      </c>
      <c r="B114" s="2">
        <v>5</v>
      </c>
      <c r="C114" s="2">
        <v>1</v>
      </c>
      <c r="D114" s="2">
        <v>36</v>
      </c>
      <c r="E114" s="2">
        <v>-80873.251999999979</v>
      </c>
      <c r="F114" s="2">
        <v>2434.9778888888891</v>
      </c>
      <c r="G114" s="2" t="s">
        <v>56</v>
      </c>
      <c r="H114" s="2" t="s">
        <v>19</v>
      </c>
      <c r="I114" s="2">
        <v>113.286</v>
      </c>
      <c r="J114" s="2">
        <v>373.98599999999999</v>
      </c>
      <c r="K114" s="2">
        <v>240</v>
      </c>
      <c r="L114" s="2">
        <v>240</v>
      </c>
      <c r="M114" s="2">
        <v>18</v>
      </c>
      <c r="N114" s="2">
        <v>8.7200000000000006</v>
      </c>
      <c r="O114" s="2">
        <v>79.72</v>
      </c>
      <c r="P114" s="2">
        <v>45.64</v>
      </c>
    </row>
    <row r="115" spans="1:16" x14ac:dyDescent="0.3">
      <c r="A115" s="2" t="s">
        <v>37</v>
      </c>
      <c r="B115" s="2">
        <v>5</v>
      </c>
      <c r="C115" s="2">
        <v>2</v>
      </c>
      <c r="D115" s="2">
        <v>36</v>
      </c>
      <c r="E115" s="2">
        <v>24126.4709</v>
      </c>
      <c r="F115" s="2">
        <v>4489.7701916666674</v>
      </c>
      <c r="G115" s="2" t="s">
        <v>56</v>
      </c>
      <c r="H115" s="2" t="s">
        <v>19</v>
      </c>
      <c r="I115" s="2">
        <v>144.21420000000001</v>
      </c>
      <c r="J115" s="2">
        <v>146.35419999999999</v>
      </c>
      <c r="K115" s="2">
        <v>240</v>
      </c>
      <c r="L115" s="2">
        <v>240</v>
      </c>
      <c r="M115" s="2">
        <v>18</v>
      </c>
      <c r="N115" s="2">
        <v>47.81</v>
      </c>
      <c r="O115" s="2">
        <v>74.19</v>
      </c>
      <c r="P115" s="2">
        <v>26.09</v>
      </c>
    </row>
    <row r="116" spans="1:16" x14ac:dyDescent="0.3">
      <c r="A116" s="2" t="s">
        <v>38</v>
      </c>
      <c r="B116" s="2">
        <v>5</v>
      </c>
      <c r="C116" s="2">
        <v>3</v>
      </c>
      <c r="D116" s="2">
        <v>36</v>
      </c>
      <c r="E116" s="2">
        <v>94865.391699999993</v>
      </c>
      <c r="F116" s="2">
        <v>5902.2068805555564</v>
      </c>
      <c r="G116" s="2" t="s">
        <v>56</v>
      </c>
      <c r="H116" s="2" t="s">
        <v>22</v>
      </c>
      <c r="I116" s="2">
        <v>172.9426</v>
      </c>
      <c r="J116" s="2">
        <v>9.3225999999999996</v>
      </c>
      <c r="K116" s="2">
        <v>240</v>
      </c>
      <c r="L116" s="2">
        <v>240</v>
      </c>
      <c r="M116" s="2">
        <v>18</v>
      </c>
      <c r="N116" s="2">
        <v>95.28</v>
      </c>
      <c r="O116" s="2">
        <v>69.05</v>
      </c>
      <c r="P116" s="2">
        <v>2.36</v>
      </c>
    </row>
    <row r="117" spans="1:16" x14ac:dyDescent="0.3">
      <c r="A117" s="2" t="s">
        <v>39</v>
      </c>
      <c r="B117" s="2">
        <v>5</v>
      </c>
      <c r="C117" s="2">
        <v>4</v>
      </c>
      <c r="D117" s="2">
        <v>36</v>
      </c>
      <c r="E117" s="2">
        <v>138520.61300000001</v>
      </c>
      <c r="F117" s="2">
        <v>6899.3852499999994</v>
      </c>
      <c r="G117" s="2" t="s">
        <v>56</v>
      </c>
      <c r="H117" s="2" t="s">
        <v>22</v>
      </c>
      <c r="I117" s="2">
        <v>228.26</v>
      </c>
      <c r="J117" s="2">
        <v>0</v>
      </c>
      <c r="K117" s="2">
        <v>240</v>
      </c>
      <c r="L117" s="2">
        <v>240</v>
      </c>
      <c r="M117" s="2">
        <v>18</v>
      </c>
      <c r="N117" s="2">
        <v>100</v>
      </c>
      <c r="O117" s="2">
        <v>59.15</v>
      </c>
      <c r="P117" s="2">
        <v>0</v>
      </c>
    </row>
    <row r="118" spans="1:16" x14ac:dyDescent="0.3">
      <c r="A118" s="2" t="s">
        <v>40</v>
      </c>
      <c r="B118" s="2">
        <v>6</v>
      </c>
      <c r="C118" s="2">
        <v>1</v>
      </c>
      <c r="D118" s="2">
        <v>36</v>
      </c>
      <c r="E118" s="2">
        <v>-42006.342000000019</v>
      </c>
      <c r="F118" s="2">
        <v>3082.6976111111121</v>
      </c>
      <c r="G118" s="2" t="s">
        <v>56</v>
      </c>
      <c r="H118" s="2" t="s">
        <v>19</v>
      </c>
      <c r="I118" s="2">
        <v>137.45400000000001</v>
      </c>
      <c r="J118" s="2">
        <v>294.49400000000003</v>
      </c>
      <c r="K118" s="2">
        <v>240</v>
      </c>
      <c r="L118" s="2">
        <v>240</v>
      </c>
      <c r="M118" s="2">
        <v>18</v>
      </c>
      <c r="N118" s="2">
        <v>17.71</v>
      </c>
      <c r="O118" s="2">
        <v>75.400000000000006</v>
      </c>
      <c r="P118" s="2">
        <v>41.14</v>
      </c>
    </row>
    <row r="119" spans="1:16" x14ac:dyDescent="0.3">
      <c r="A119" s="2" t="s">
        <v>41</v>
      </c>
      <c r="B119" s="2">
        <v>6</v>
      </c>
      <c r="C119" s="2">
        <v>2</v>
      </c>
      <c r="D119" s="2">
        <v>36</v>
      </c>
      <c r="E119" s="2">
        <v>63553.89</v>
      </c>
      <c r="F119" s="2">
        <v>5153.0596111111108</v>
      </c>
      <c r="G119" s="2" t="s">
        <v>56</v>
      </c>
      <c r="H119" s="2" t="s">
        <v>22</v>
      </c>
      <c r="I119" s="2">
        <v>179.03200000000001</v>
      </c>
      <c r="J119" s="2">
        <v>77.512</v>
      </c>
      <c r="K119" s="2">
        <v>240</v>
      </c>
      <c r="L119" s="2">
        <v>240</v>
      </c>
      <c r="M119" s="2">
        <v>18</v>
      </c>
      <c r="N119" s="2">
        <v>66.09</v>
      </c>
      <c r="O119" s="2">
        <v>67.959999999999994</v>
      </c>
      <c r="P119" s="2">
        <v>16.95</v>
      </c>
    </row>
    <row r="120" spans="1:16" x14ac:dyDescent="0.3">
      <c r="A120" s="2" t="s">
        <v>42</v>
      </c>
      <c r="B120" s="2">
        <v>6</v>
      </c>
      <c r="C120" s="2">
        <v>3</v>
      </c>
      <c r="D120" s="2">
        <v>36</v>
      </c>
      <c r="E120" s="2">
        <v>153187.06099999999</v>
      </c>
      <c r="F120" s="2">
        <v>7090.3365833333337</v>
      </c>
      <c r="G120" s="2" t="s">
        <v>56</v>
      </c>
      <c r="H120" s="2" t="s">
        <v>22</v>
      </c>
      <c r="I120" s="2">
        <v>267.27999999999997</v>
      </c>
      <c r="J120" s="2">
        <v>0</v>
      </c>
      <c r="K120" s="2">
        <v>240</v>
      </c>
      <c r="L120" s="2">
        <v>240</v>
      </c>
      <c r="M120" s="2">
        <v>18</v>
      </c>
      <c r="N120" s="2">
        <v>100</v>
      </c>
      <c r="O120" s="2">
        <v>52.16</v>
      </c>
      <c r="P120" s="2">
        <v>0</v>
      </c>
    </row>
    <row r="121" spans="1:16" x14ac:dyDescent="0.3">
      <c r="A121" s="2" t="s">
        <v>43</v>
      </c>
      <c r="B121" s="2">
        <v>6</v>
      </c>
      <c r="C121" s="2">
        <v>4</v>
      </c>
      <c r="D121" s="2">
        <v>36</v>
      </c>
      <c r="E121" s="2">
        <v>200436.59700000001</v>
      </c>
      <c r="F121" s="2">
        <v>8187.3570277777799</v>
      </c>
      <c r="G121" s="2" t="s">
        <v>56</v>
      </c>
      <c r="H121" s="2" t="s">
        <v>22</v>
      </c>
      <c r="I121" s="2">
        <v>331.92</v>
      </c>
      <c r="J121" s="2">
        <v>0</v>
      </c>
      <c r="K121" s="2">
        <v>240</v>
      </c>
      <c r="L121" s="2">
        <v>240</v>
      </c>
      <c r="M121" s="2">
        <v>18</v>
      </c>
      <c r="N121" s="2">
        <v>100</v>
      </c>
      <c r="O121" s="2">
        <v>40.590000000000003</v>
      </c>
      <c r="P121" s="2">
        <v>0</v>
      </c>
    </row>
    <row r="122" spans="1:16" x14ac:dyDescent="0.3">
      <c r="A122" s="2" t="s">
        <v>57</v>
      </c>
      <c r="B122" s="2"/>
      <c r="C122" s="2"/>
      <c r="D122" s="2">
        <v>72</v>
      </c>
      <c r="E122" s="2"/>
      <c r="F122" s="2"/>
      <c r="G122" s="2" t="s">
        <v>58</v>
      </c>
      <c r="H122" s="2" t="s">
        <v>59</v>
      </c>
      <c r="I122" s="2"/>
      <c r="J122" s="2"/>
      <c r="K122" s="2"/>
      <c r="L122" s="2"/>
      <c r="M122" s="2"/>
      <c r="N122" s="2"/>
      <c r="O122" s="2"/>
      <c r="P122" s="2"/>
    </row>
    <row r="123" spans="1:16" x14ac:dyDescent="0.3">
      <c r="A123" s="2" t="s">
        <v>60</v>
      </c>
      <c r="B123" s="2"/>
      <c r="C123" s="2"/>
      <c r="D123" s="2">
        <v>63</v>
      </c>
      <c r="E123" s="2"/>
      <c r="F123" s="2"/>
      <c r="G123" s="2" t="s">
        <v>58</v>
      </c>
      <c r="H123" s="2" t="s">
        <v>59</v>
      </c>
      <c r="I123" s="2"/>
      <c r="J123" s="2"/>
      <c r="K123" s="2"/>
      <c r="L123" s="2"/>
      <c r="M123" s="2"/>
      <c r="N123" s="2"/>
      <c r="O123" s="2"/>
      <c r="P123" s="2"/>
    </row>
    <row r="124" spans="1:16" x14ac:dyDescent="0.3">
      <c r="A124" s="2" t="s">
        <v>61</v>
      </c>
      <c r="B124" s="2"/>
      <c r="C124" s="2"/>
      <c r="D124" s="2">
        <v>54</v>
      </c>
      <c r="E124" s="2"/>
      <c r="F124" s="2"/>
      <c r="G124" s="2" t="s">
        <v>58</v>
      </c>
      <c r="H124" s="2" t="s">
        <v>59</v>
      </c>
      <c r="I124" s="2"/>
      <c r="J124" s="2"/>
      <c r="K124" s="2"/>
      <c r="L124" s="2"/>
      <c r="M124" s="2"/>
      <c r="N124" s="2"/>
      <c r="O124" s="2"/>
      <c r="P124" s="2"/>
    </row>
    <row r="125" spans="1:16" x14ac:dyDescent="0.3">
      <c r="A125" s="2" t="s">
        <v>62</v>
      </c>
      <c r="B125" s="2"/>
      <c r="C125" s="2"/>
      <c r="D125" s="2">
        <v>45</v>
      </c>
      <c r="E125" s="2"/>
      <c r="F125" s="2"/>
      <c r="G125" s="2" t="s">
        <v>58</v>
      </c>
      <c r="H125" s="2" t="s">
        <v>59</v>
      </c>
      <c r="I125" s="2"/>
      <c r="J125" s="2"/>
      <c r="K125" s="2"/>
      <c r="L125" s="2"/>
      <c r="M125" s="2"/>
      <c r="N125" s="2"/>
      <c r="O125" s="2"/>
      <c r="P125" s="2"/>
    </row>
    <row r="126" spans="1:16" x14ac:dyDescent="0.3">
      <c r="A126" s="2" t="s">
        <v>63</v>
      </c>
      <c r="B126" s="2"/>
      <c r="C126" s="2"/>
      <c r="D126" s="2">
        <v>36</v>
      </c>
      <c r="E126" s="2"/>
      <c r="F126" s="2"/>
      <c r="G126" s="2" t="s">
        <v>58</v>
      </c>
      <c r="H126" s="2" t="s">
        <v>64</v>
      </c>
      <c r="I126" s="2"/>
      <c r="J126" s="2"/>
      <c r="K126" s="2"/>
      <c r="L126" s="2"/>
      <c r="M126" s="2"/>
      <c r="N126" s="2"/>
      <c r="O126" s="2"/>
      <c r="P126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3" width="11" customWidth="1"/>
    <col min="4" max="4" width="15" customWidth="1"/>
    <col min="5" max="5" width="18" customWidth="1"/>
    <col min="6" max="7" width="16" customWidth="1"/>
    <col min="8" max="10" width="19" customWidth="1"/>
    <col min="11" max="11" width="28" customWidth="1"/>
    <col min="12" max="12" width="22" customWidth="1"/>
    <col min="13" max="13" width="24" customWidth="1"/>
    <col min="14" max="14" width="60" customWidth="1"/>
    <col min="15" max="15" width="21" customWidth="1"/>
    <col min="16" max="16" width="11" customWidth="1"/>
    <col min="17" max="17" width="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48</v>
      </c>
      <c r="E1" s="1" t="s">
        <v>10</v>
      </c>
      <c r="F1" s="1" t="s">
        <v>50</v>
      </c>
      <c r="G1" s="1" t="s">
        <v>51</v>
      </c>
      <c r="H1" s="1" t="s">
        <v>65</v>
      </c>
      <c r="I1" s="1" t="s">
        <v>66</v>
      </c>
      <c r="J1" s="1" t="s">
        <v>67</v>
      </c>
      <c r="K1" s="1" t="s">
        <v>7</v>
      </c>
      <c r="L1" s="1" t="s">
        <v>8</v>
      </c>
      <c r="M1" s="1" t="s">
        <v>9</v>
      </c>
      <c r="N1" s="1" t="s">
        <v>17</v>
      </c>
      <c r="O1" s="1" t="s">
        <v>49</v>
      </c>
      <c r="P1" s="1" t="s">
        <v>68</v>
      </c>
      <c r="Q1" s="1" t="s">
        <v>69</v>
      </c>
    </row>
    <row r="2" spans="1:17" x14ac:dyDescent="0.3">
      <c r="A2" s="2">
        <v>1</v>
      </c>
      <c r="B2" s="2">
        <v>1</v>
      </c>
      <c r="C2" s="2">
        <v>1</v>
      </c>
      <c r="D2" s="2">
        <v>108177.13</v>
      </c>
      <c r="E2" s="2">
        <v>4550.41</v>
      </c>
      <c r="F2" s="2">
        <v>412.3202</v>
      </c>
      <c r="G2" s="2">
        <v>105.6268</v>
      </c>
      <c r="H2" s="2">
        <v>573.89940000000001</v>
      </c>
      <c r="I2" s="2">
        <v>397.83800000000002</v>
      </c>
      <c r="J2" s="2">
        <v>36</v>
      </c>
      <c r="K2" s="2">
        <v>72.27</v>
      </c>
      <c r="L2" s="2">
        <v>61.41</v>
      </c>
      <c r="M2" s="2">
        <v>13.87</v>
      </c>
      <c r="N2" s="2" t="s">
        <v>22</v>
      </c>
      <c r="O2" s="2" t="s">
        <v>56</v>
      </c>
      <c r="P2" s="2">
        <v>0</v>
      </c>
      <c r="Q2" s="2" t="s">
        <v>70</v>
      </c>
    </row>
    <row r="3" spans="1:17" x14ac:dyDescent="0.3">
      <c r="A3" s="2">
        <v>2</v>
      </c>
      <c r="B3" s="2">
        <v>1</v>
      </c>
      <c r="C3" s="2">
        <v>2</v>
      </c>
      <c r="D3" s="2">
        <v>234904.26</v>
      </c>
      <c r="E3" s="2">
        <v>5893.54</v>
      </c>
      <c r="F3" s="2">
        <v>561.23030000000006</v>
      </c>
      <c r="G3" s="2">
        <v>0</v>
      </c>
      <c r="H3" s="2">
        <v>541.71429999999998</v>
      </c>
      <c r="I3" s="2">
        <v>426</v>
      </c>
      <c r="J3" s="2">
        <v>36</v>
      </c>
      <c r="K3" s="2">
        <v>100</v>
      </c>
      <c r="L3" s="2">
        <v>47.27</v>
      </c>
      <c r="M3" s="2">
        <v>0</v>
      </c>
      <c r="N3" s="2" t="s">
        <v>22</v>
      </c>
      <c r="O3" s="2" t="s">
        <v>56</v>
      </c>
      <c r="P3" s="2">
        <v>1</v>
      </c>
      <c r="Q3" s="2" t="s">
        <v>71</v>
      </c>
    </row>
    <row r="4" spans="1:17" x14ac:dyDescent="0.3">
      <c r="A4" s="2">
        <v>3</v>
      </c>
      <c r="B4" s="2">
        <v>1</v>
      </c>
      <c r="C4" s="2">
        <v>3</v>
      </c>
      <c r="D4" s="2">
        <v>339189.71</v>
      </c>
      <c r="E4" s="2">
        <v>7047.23</v>
      </c>
      <c r="F4" s="2">
        <v>732.30539999999996</v>
      </c>
      <c r="G4" s="2">
        <v>0</v>
      </c>
      <c r="H4" s="2">
        <v>584.23540000000003</v>
      </c>
      <c r="I4" s="2">
        <v>388.79399999999998</v>
      </c>
      <c r="J4" s="2">
        <v>36</v>
      </c>
      <c r="K4" s="2">
        <v>100</v>
      </c>
      <c r="L4" s="2">
        <v>31.54</v>
      </c>
      <c r="M4" s="2">
        <v>0</v>
      </c>
      <c r="N4" s="2" t="s">
        <v>22</v>
      </c>
      <c r="O4" s="2" t="s">
        <v>56</v>
      </c>
      <c r="P4" s="2">
        <v>1</v>
      </c>
      <c r="Q4" s="2" t="s">
        <v>71</v>
      </c>
    </row>
    <row r="5" spans="1:17" x14ac:dyDescent="0.3">
      <c r="A5" s="2">
        <v>4</v>
      </c>
      <c r="B5" s="2">
        <v>1</v>
      </c>
      <c r="C5" s="2">
        <v>4</v>
      </c>
      <c r="D5" s="2">
        <v>382367.16</v>
      </c>
      <c r="E5" s="2">
        <v>7520.89</v>
      </c>
      <c r="F5" s="2">
        <v>802.21479999999997</v>
      </c>
      <c r="G5" s="2">
        <v>0</v>
      </c>
      <c r="H5" s="2">
        <v>626.39059999999995</v>
      </c>
      <c r="I5" s="2">
        <v>351.90820000000002</v>
      </c>
      <c r="J5" s="2">
        <v>36</v>
      </c>
      <c r="K5" s="2">
        <v>100</v>
      </c>
      <c r="L5" s="2">
        <v>25.38</v>
      </c>
      <c r="M5" s="2">
        <v>0</v>
      </c>
      <c r="N5" s="2" t="s">
        <v>19</v>
      </c>
      <c r="O5" s="2" t="s">
        <v>56</v>
      </c>
      <c r="P5" s="2">
        <v>1</v>
      </c>
      <c r="Q5" s="2" t="s">
        <v>71</v>
      </c>
    </row>
    <row r="6" spans="1:17" x14ac:dyDescent="0.3">
      <c r="A6" s="2">
        <v>5</v>
      </c>
      <c r="B6" s="2">
        <v>2</v>
      </c>
      <c r="C6" s="2">
        <v>1</v>
      </c>
      <c r="D6" s="2">
        <v>148342.07</v>
      </c>
      <c r="E6" s="2">
        <v>4893.88</v>
      </c>
      <c r="F6" s="2">
        <v>450.03219999999999</v>
      </c>
      <c r="G6" s="2">
        <v>40.453600000000002</v>
      </c>
      <c r="H6" s="2">
        <v>574.10059999999999</v>
      </c>
      <c r="I6" s="2">
        <v>397.66199999999998</v>
      </c>
      <c r="J6" s="2">
        <v>36</v>
      </c>
      <c r="K6" s="2">
        <v>87.72</v>
      </c>
      <c r="L6" s="2">
        <v>57.88</v>
      </c>
      <c r="M6" s="2">
        <v>6.14</v>
      </c>
      <c r="N6" s="2" t="s">
        <v>22</v>
      </c>
      <c r="O6" s="2" t="s">
        <v>56</v>
      </c>
      <c r="P6" s="2">
        <v>0</v>
      </c>
      <c r="Q6" s="2" t="s">
        <v>70</v>
      </c>
    </row>
    <row r="7" spans="1:17" x14ac:dyDescent="0.3">
      <c r="A7" s="2">
        <v>6</v>
      </c>
      <c r="B7" s="2">
        <v>2</v>
      </c>
      <c r="C7" s="2">
        <v>2</v>
      </c>
      <c r="D7" s="2">
        <v>290045.49</v>
      </c>
      <c r="E7" s="2">
        <v>6445.1</v>
      </c>
      <c r="F7" s="2">
        <v>664.09029999999996</v>
      </c>
      <c r="G7" s="2">
        <v>0</v>
      </c>
      <c r="H7" s="2">
        <v>541.71429999999998</v>
      </c>
      <c r="I7" s="2">
        <v>426</v>
      </c>
      <c r="J7" s="2">
        <v>36</v>
      </c>
      <c r="K7" s="2">
        <v>100</v>
      </c>
      <c r="L7" s="2">
        <v>37.61</v>
      </c>
      <c r="M7" s="2">
        <v>0</v>
      </c>
      <c r="N7" s="2" t="s">
        <v>22</v>
      </c>
      <c r="O7" s="2" t="s">
        <v>56</v>
      </c>
      <c r="P7" s="2">
        <v>1</v>
      </c>
      <c r="Q7" s="2" t="s">
        <v>71</v>
      </c>
    </row>
    <row r="8" spans="1:17" x14ac:dyDescent="0.3">
      <c r="A8" s="2">
        <v>7</v>
      </c>
      <c r="B8" s="2">
        <v>2</v>
      </c>
      <c r="C8" s="2">
        <v>3</v>
      </c>
      <c r="D8" s="2">
        <v>396072.07</v>
      </c>
      <c r="E8" s="2">
        <v>7613.02</v>
      </c>
      <c r="F8" s="2">
        <v>838.03200000000004</v>
      </c>
      <c r="G8" s="2">
        <v>0</v>
      </c>
      <c r="H8" s="2">
        <v>607.16780000000006</v>
      </c>
      <c r="I8" s="2">
        <v>368.72820000000002</v>
      </c>
      <c r="J8" s="2">
        <v>36</v>
      </c>
      <c r="K8" s="2">
        <v>100</v>
      </c>
      <c r="L8" s="2">
        <v>21.87</v>
      </c>
      <c r="M8" s="2">
        <v>0</v>
      </c>
      <c r="N8" s="2" t="s">
        <v>19</v>
      </c>
      <c r="O8" s="2" t="s">
        <v>56</v>
      </c>
      <c r="P8" s="2">
        <v>1</v>
      </c>
      <c r="Q8" s="2" t="s">
        <v>71</v>
      </c>
    </row>
    <row r="9" spans="1:17" x14ac:dyDescent="0.3">
      <c r="A9" s="2">
        <v>8</v>
      </c>
      <c r="B9" s="2">
        <v>2</v>
      </c>
      <c r="C9" s="2">
        <v>4</v>
      </c>
      <c r="D9" s="2">
        <v>440497.27</v>
      </c>
      <c r="E9" s="2">
        <v>8109.36</v>
      </c>
      <c r="F9" s="2">
        <v>906.4</v>
      </c>
      <c r="G9" s="2">
        <v>0</v>
      </c>
      <c r="H9" s="2">
        <v>636.99180000000001</v>
      </c>
      <c r="I9" s="2">
        <v>342.63220000000001</v>
      </c>
      <c r="J9" s="2">
        <v>36</v>
      </c>
      <c r="K9" s="2">
        <v>100</v>
      </c>
      <c r="L9" s="2">
        <v>15.79</v>
      </c>
      <c r="M9" s="2">
        <v>0</v>
      </c>
      <c r="N9" s="2" t="s">
        <v>19</v>
      </c>
      <c r="O9" s="2" t="s">
        <v>56</v>
      </c>
      <c r="P9" s="2">
        <v>1</v>
      </c>
      <c r="Q9" s="2" t="s">
        <v>71</v>
      </c>
    </row>
    <row r="10" spans="1:17" x14ac:dyDescent="0.3">
      <c r="A10" s="2">
        <v>9</v>
      </c>
      <c r="B10" s="2">
        <v>3</v>
      </c>
      <c r="C10" s="2">
        <v>1</v>
      </c>
      <c r="D10" s="2">
        <v>97100.57</v>
      </c>
      <c r="E10" s="2">
        <v>4439.1499999999996</v>
      </c>
      <c r="F10" s="2">
        <v>391.32819999999998</v>
      </c>
      <c r="G10" s="2">
        <v>104.52849999999999</v>
      </c>
      <c r="H10" s="2">
        <v>567.35770000000002</v>
      </c>
      <c r="I10" s="2">
        <v>403.56200000000001</v>
      </c>
      <c r="J10" s="2">
        <v>36</v>
      </c>
      <c r="K10" s="2">
        <v>73.23</v>
      </c>
      <c r="L10" s="2">
        <v>63.35</v>
      </c>
      <c r="M10" s="2">
        <v>13.39</v>
      </c>
      <c r="N10" s="2" t="s">
        <v>22</v>
      </c>
      <c r="O10" s="2" t="s">
        <v>56</v>
      </c>
      <c r="P10" s="2">
        <v>0</v>
      </c>
      <c r="Q10" s="2" t="s">
        <v>70</v>
      </c>
    </row>
    <row r="11" spans="1:17" x14ac:dyDescent="0.3">
      <c r="A11" s="2">
        <v>10</v>
      </c>
      <c r="B11" s="2">
        <v>3</v>
      </c>
      <c r="C11" s="2">
        <v>2</v>
      </c>
      <c r="D11" s="2">
        <v>224027.6</v>
      </c>
      <c r="E11" s="2">
        <v>5784.82</v>
      </c>
      <c r="F11" s="2">
        <v>541.40539999999999</v>
      </c>
      <c r="G11" s="2">
        <v>0</v>
      </c>
      <c r="H11" s="2">
        <v>535.72339999999997</v>
      </c>
      <c r="I11" s="2">
        <v>431.24200000000002</v>
      </c>
      <c r="J11" s="2">
        <v>36</v>
      </c>
      <c r="K11" s="2">
        <v>100</v>
      </c>
      <c r="L11" s="2">
        <v>49.1</v>
      </c>
      <c r="M11" s="2">
        <v>0</v>
      </c>
      <c r="N11" s="2" t="s">
        <v>22</v>
      </c>
      <c r="O11" s="2" t="s">
        <v>56</v>
      </c>
      <c r="P11" s="2">
        <v>1</v>
      </c>
      <c r="Q11" s="2" t="s">
        <v>71</v>
      </c>
    </row>
    <row r="12" spans="1:17" x14ac:dyDescent="0.3">
      <c r="A12" s="2">
        <v>11</v>
      </c>
      <c r="B12" s="2">
        <v>3</v>
      </c>
      <c r="C12" s="2">
        <v>3</v>
      </c>
      <c r="D12" s="2">
        <v>328156.42</v>
      </c>
      <c r="E12" s="2">
        <v>6935.09</v>
      </c>
      <c r="F12" s="2">
        <v>712.83910000000003</v>
      </c>
      <c r="G12" s="2">
        <v>0</v>
      </c>
      <c r="H12" s="2">
        <v>581.11289999999997</v>
      </c>
      <c r="I12" s="2">
        <v>391.52620000000002</v>
      </c>
      <c r="J12" s="2">
        <v>36</v>
      </c>
      <c r="K12" s="2">
        <v>100</v>
      </c>
      <c r="L12" s="2">
        <v>33.340000000000003</v>
      </c>
      <c r="M12" s="2">
        <v>0</v>
      </c>
      <c r="N12" s="2" t="s">
        <v>22</v>
      </c>
      <c r="O12" s="2" t="s">
        <v>56</v>
      </c>
      <c r="P12" s="2">
        <v>1</v>
      </c>
      <c r="Q12" s="2" t="s">
        <v>71</v>
      </c>
    </row>
    <row r="13" spans="1:17" x14ac:dyDescent="0.3">
      <c r="A13" s="2">
        <v>12</v>
      </c>
      <c r="B13" s="2">
        <v>3</v>
      </c>
      <c r="C13" s="2">
        <v>4</v>
      </c>
      <c r="D13" s="2">
        <v>371366.45</v>
      </c>
      <c r="E13" s="2">
        <v>7408.98</v>
      </c>
      <c r="F13" s="2">
        <v>782.81110000000001</v>
      </c>
      <c r="G13" s="2">
        <v>0</v>
      </c>
      <c r="H13" s="2">
        <v>623.76869999999997</v>
      </c>
      <c r="I13" s="2">
        <v>354.20240000000001</v>
      </c>
      <c r="J13" s="2">
        <v>36</v>
      </c>
      <c r="K13" s="2">
        <v>100</v>
      </c>
      <c r="L13" s="2">
        <v>27.16</v>
      </c>
      <c r="M13" s="2">
        <v>0</v>
      </c>
      <c r="N13" s="2" t="s">
        <v>19</v>
      </c>
      <c r="O13" s="2" t="s">
        <v>56</v>
      </c>
      <c r="P13" s="2">
        <v>1</v>
      </c>
      <c r="Q13" s="2" t="s">
        <v>71</v>
      </c>
    </row>
    <row r="14" spans="1:17" x14ac:dyDescent="0.3">
      <c r="A14" s="2">
        <v>13</v>
      </c>
      <c r="B14" s="2">
        <v>4</v>
      </c>
      <c r="C14" s="2">
        <v>1</v>
      </c>
      <c r="D14" s="2">
        <v>61398.67</v>
      </c>
      <c r="E14" s="2">
        <v>4145.04</v>
      </c>
      <c r="F14" s="2">
        <v>356.53219999999999</v>
      </c>
      <c r="G14" s="2">
        <v>166.27019999999999</v>
      </c>
      <c r="H14" s="2">
        <v>563.72799999999995</v>
      </c>
      <c r="I14" s="2">
        <v>406.738</v>
      </c>
      <c r="J14" s="2">
        <v>36</v>
      </c>
      <c r="K14" s="2">
        <v>62.08</v>
      </c>
      <c r="L14" s="2">
        <v>66.59</v>
      </c>
      <c r="M14" s="2">
        <v>18.96</v>
      </c>
      <c r="N14" s="2" t="s">
        <v>22</v>
      </c>
      <c r="O14" s="2" t="s">
        <v>56</v>
      </c>
      <c r="P14" s="2">
        <v>0</v>
      </c>
      <c r="Q14" s="2" t="s">
        <v>70</v>
      </c>
    </row>
    <row r="15" spans="1:17" x14ac:dyDescent="0.3">
      <c r="A15" s="2">
        <v>14</v>
      </c>
      <c r="B15" s="2">
        <v>4</v>
      </c>
      <c r="C15" s="2">
        <v>2</v>
      </c>
      <c r="D15" s="2">
        <v>174155.97</v>
      </c>
      <c r="E15" s="2">
        <v>5293.91</v>
      </c>
      <c r="F15" s="2">
        <v>444.86770000000001</v>
      </c>
      <c r="G15" s="2">
        <v>0</v>
      </c>
      <c r="H15" s="2">
        <v>532.09370000000001</v>
      </c>
      <c r="I15" s="2">
        <v>434.41800000000001</v>
      </c>
      <c r="J15" s="2">
        <v>36</v>
      </c>
      <c r="K15" s="2">
        <v>100</v>
      </c>
      <c r="L15" s="2">
        <v>58.16</v>
      </c>
      <c r="M15" s="2">
        <v>0</v>
      </c>
      <c r="N15" s="2" t="s">
        <v>22</v>
      </c>
      <c r="O15" s="2" t="s">
        <v>56</v>
      </c>
      <c r="P15" s="2">
        <v>1</v>
      </c>
      <c r="Q15" s="2" t="s">
        <v>71</v>
      </c>
    </row>
    <row r="16" spans="1:17" x14ac:dyDescent="0.3">
      <c r="A16" s="2">
        <v>15</v>
      </c>
      <c r="B16" s="2">
        <v>4</v>
      </c>
      <c r="C16" s="2">
        <v>3</v>
      </c>
      <c r="D16" s="2">
        <v>277838.44</v>
      </c>
      <c r="E16" s="2">
        <v>6440.53</v>
      </c>
      <c r="F16" s="2">
        <v>615.56650000000002</v>
      </c>
      <c r="G16" s="2">
        <v>0</v>
      </c>
      <c r="H16" s="2">
        <v>571.60429999999997</v>
      </c>
      <c r="I16" s="2">
        <v>399.84620000000001</v>
      </c>
      <c r="J16" s="2">
        <v>36</v>
      </c>
      <c r="K16" s="2">
        <v>100</v>
      </c>
      <c r="L16" s="2">
        <v>42.37</v>
      </c>
      <c r="M16" s="2">
        <v>0</v>
      </c>
      <c r="N16" s="2" t="s">
        <v>22</v>
      </c>
      <c r="O16" s="2" t="s">
        <v>56</v>
      </c>
      <c r="P16" s="2">
        <v>1</v>
      </c>
      <c r="Q16" s="2" t="s">
        <v>71</v>
      </c>
    </row>
    <row r="17" spans="1:17" x14ac:dyDescent="0.3">
      <c r="A17" s="2">
        <v>16</v>
      </c>
      <c r="B17" s="2">
        <v>4</v>
      </c>
      <c r="C17" s="2">
        <v>4</v>
      </c>
      <c r="D17" s="2">
        <v>321206.05</v>
      </c>
      <c r="E17" s="2">
        <v>6917.33</v>
      </c>
      <c r="F17" s="2">
        <v>685.33050000000003</v>
      </c>
      <c r="G17" s="2">
        <v>0</v>
      </c>
      <c r="H17" s="2">
        <v>612.59609999999998</v>
      </c>
      <c r="I17" s="2">
        <v>363.97840000000002</v>
      </c>
      <c r="J17" s="2">
        <v>36</v>
      </c>
      <c r="K17" s="2">
        <v>100</v>
      </c>
      <c r="L17" s="2">
        <v>36.15</v>
      </c>
      <c r="M17" s="2">
        <v>0</v>
      </c>
      <c r="N17" s="2" t="s">
        <v>22</v>
      </c>
      <c r="O17" s="2" t="s">
        <v>56</v>
      </c>
      <c r="P17" s="2">
        <v>1</v>
      </c>
      <c r="Q17" s="2" t="s">
        <v>71</v>
      </c>
    </row>
    <row r="18" spans="1:17" x14ac:dyDescent="0.3">
      <c r="A18" s="2">
        <v>17</v>
      </c>
      <c r="B18" s="2">
        <v>5</v>
      </c>
      <c r="C18" s="2">
        <v>1</v>
      </c>
      <c r="D18" s="2">
        <v>81369.100000000006</v>
      </c>
      <c r="E18" s="2">
        <v>4299.9399999999996</v>
      </c>
      <c r="F18" s="2">
        <v>375.71640000000002</v>
      </c>
      <c r="G18" s="2">
        <v>127.1824</v>
      </c>
      <c r="H18" s="2">
        <v>569.87180000000001</v>
      </c>
      <c r="I18" s="2">
        <v>401.36219999999997</v>
      </c>
      <c r="J18" s="2">
        <v>36</v>
      </c>
      <c r="K18" s="2">
        <v>68.959999999999994</v>
      </c>
      <c r="L18" s="2">
        <v>64.819999999999993</v>
      </c>
      <c r="M18" s="2">
        <v>15.52</v>
      </c>
      <c r="N18" s="2" t="s">
        <v>22</v>
      </c>
      <c r="O18" s="2" t="s">
        <v>56</v>
      </c>
      <c r="P18" s="2">
        <v>0</v>
      </c>
      <c r="Q18" s="2" t="s">
        <v>70</v>
      </c>
    </row>
    <row r="19" spans="1:17" x14ac:dyDescent="0.3">
      <c r="A19" s="2">
        <v>18</v>
      </c>
      <c r="B19" s="2">
        <v>5</v>
      </c>
      <c r="C19" s="2">
        <v>2</v>
      </c>
      <c r="D19" s="2">
        <v>203097.04</v>
      </c>
      <c r="E19" s="2">
        <v>5573.4</v>
      </c>
      <c r="F19" s="2">
        <v>503.1397</v>
      </c>
      <c r="G19" s="2">
        <v>0</v>
      </c>
      <c r="H19" s="2">
        <v>538.23749999999995</v>
      </c>
      <c r="I19" s="2">
        <v>429.04219999999998</v>
      </c>
      <c r="J19" s="2">
        <v>36</v>
      </c>
      <c r="K19" s="2">
        <v>100</v>
      </c>
      <c r="L19" s="2">
        <v>52.71</v>
      </c>
      <c r="M19" s="2">
        <v>0</v>
      </c>
      <c r="N19" s="2" t="s">
        <v>22</v>
      </c>
      <c r="O19" s="2" t="s">
        <v>56</v>
      </c>
      <c r="P19" s="2">
        <v>1</v>
      </c>
      <c r="Q19" s="2" t="s">
        <v>71</v>
      </c>
    </row>
    <row r="20" spans="1:17" x14ac:dyDescent="0.3">
      <c r="A20" s="2">
        <v>19</v>
      </c>
      <c r="B20" s="2">
        <v>5</v>
      </c>
      <c r="C20" s="2">
        <v>3</v>
      </c>
      <c r="D20" s="2">
        <v>305966.53999999998</v>
      </c>
      <c r="E20" s="2">
        <v>6714.45</v>
      </c>
      <c r="F20" s="2">
        <v>672.1925</v>
      </c>
      <c r="G20" s="2">
        <v>0</v>
      </c>
      <c r="H20" s="2">
        <v>564.58010000000002</v>
      </c>
      <c r="I20" s="2">
        <v>405.99239999999998</v>
      </c>
      <c r="J20" s="2">
        <v>36</v>
      </c>
      <c r="K20" s="2">
        <v>100</v>
      </c>
      <c r="L20" s="2">
        <v>37.020000000000003</v>
      </c>
      <c r="M20" s="2">
        <v>0</v>
      </c>
      <c r="N20" s="2" t="s">
        <v>22</v>
      </c>
      <c r="O20" s="2" t="s">
        <v>56</v>
      </c>
      <c r="P20" s="2">
        <v>1</v>
      </c>
      <c r="Q20" s="2" t="s">
        <v>71</v>
      </c>
    </row>
    <row r="21" spans="1:17" x14ac:dyDescent="0.3">
      <c r="A21" s="2">
        <v>20</v>
      </c>
      <c r="B21" s="2">
        <v>5</v>
      </c>
      <c r="C21" s="2">
        <v>4</v>
      </c>
      <c r="D21" s="2">
        <v>348921.57</v>
      </c>
      <c r="E21" s="2">
        <v>7183.63</v>
      </c>
      <c r="F21" s="2">
        <v>742.50109999999995</v>
      </c>
      <c r="G21" s="2">
        <v>0</v>
      </c>
      <c r="H21" s="2">
        <v>609.92870000000005</v>
      </c>
      <c r="I21" s="2">
        <v>366.31240000000003</v>
      </c>
      <c r="J21" s="2">
        <v>36</v>
      </c>
      <c r="K21" s="2">
        <v>100</v>
      </c>
      <c r="L21" s="2">
        <v>30.8</v>
      </c>
      <c r="M21" s="2">
        <v>0</v>
      </c>
      <c r="N21" s="2" t="s">
        <v>22</v>
      </c>
      <c r="O21" s="2" t="s">
        <v>56</v>
      </c>
      <c r="P21" s="2">
        <v>1</v>
      </c>
      <c r="Q21" s="2" t="s">
        <v>71</v>
      </c>
    </row>
    <row r="22" spans="1:17" x14ac:dyDescent="0.3">
      <c r="A22" s="2">
        <v>21</v>
      </c>
      <c r="B22" s="2">
        <v>6</v>
      </c>
      <c r="C22" s="2">
        <v>1</v>
      </c>
      <c r="D22" s="2">
        <v>120300.76</v>
      </c>
      <c r="E22" s="2">
        <v>4625.12</v>
      </c>
      <c r="F22" s="2">
        <v>407.84820000000002</v>
      </c>
      <c r="G22" s="2">
        <v>55.776499999999999</v>
      </c>
      <c r="H22" s="2">
        <v>568.89369999999997</v>
      </c>
      <c r="I22" s="2">
        <v>402.21800000000002</v>
      </c>
      <c r="J22" s="2">
        <v>36</v>
      </c>
      <c r="K22" s="2">
        <v>84.41</v>
      </c>
      <c r="L22" s="2">
        <v>61.81</v>
      </c>
      <c r="M22" s="2">
        <v>7.79</v>
      </c>
      <c r="N22" s="2" t="s">
        <v>22</v>
      </c>
      <c r="O22" s="2" t="s">
        <v>56</v>
      </c>
      <c r="P22" s="2">
        <v>0</v>
      </c>
      <c r="Q22" s="2" t="s">
        <v>70</v>
      </c>
    </row>
    <row r="23" spans="1:17" x14ac:dyDescent="0.3">
      <c r="A23" s="2">
        <v>22</v>
      </c>
      <c r="B23" s="2">
        <v>6</v>
      </c>
      <c r="C23" s="2">
        <v>2</v>
      </c>
      <c r="D23" s="2">
        <v>258416.37</v>
      </c>
      <c r="E23" s="2">
        <v>6126.19</v>
      </c>
      <c r="F23" s="2">
        <v>606.67740000000003</v>
      </c>
      <c r="G23" s="2">
        <v>0</v>
      </c>
      <c r="H23" s="2">
        <v>537.25940000000003</v>
      </c>
      <c r="I23" s="2">
        <v>429.89800000000002</v>
      </c>
      <c r="J23" s="2">
        <v>36</v>
      </c>
      <c r="K23" s="2">
        <v>100</v>
      </c>
      <c r="L23" s="2">
        <v>42.97</v>
      </c>
      <c r="M23" s="2">
        <v>0</v>
      </c>
      <c r="N23" s="2" t="s">
        <v>22</v>
      </c>
      <c r="O23" s="2" t="s">
        <v>56</v>
      </c>
      <c r="P23" s="2">
        <v>1</v>
      </c>
      <c r="Q23" s="2" t="s">
        <v>71</v>
      </c>
    </row>
    <row r="24" spans="1:17" x14ac:dyDescent="0.3">
      <c r="A24" s="2">
        <v>23</v>
      </c>
      <c r="B24" s="2">
        <v>6</v>
      </c>
      <c r="C24" s="2">
        <v>3</v>
      </c>
      <c r="D24" s="2">
        <v>364158.79</v>
      </c>
      <c r="E24" s="2">
        <v>7289.65</v>
      </c>
      <c r="F24" s="2">
        <v>780.76769999999999</v>
      </c>
      <c r="G24" s="2">
        <v>0</v>
      </c>
      <c r="H24" s="2">
        <v>603.90150000000006</v>
      </c>
      <c r="I24" s="2">
        <v>371.58620000000002</v>
      </c>
      <c r="J24" s="2">
        <v>36</v>
      </c>
      <c r="K24" s="2">
        <v>100</v>
      </c>
      <c r="L24" s="2">
        <v>27.18</v>
      </c>
      <c r="M24" s="2">
        <v>0</v>
      </c>
      <c r="N24" s="2" t="s">
        <v>19</v>
      </c>
      <c r="O24" s="2" t="s">
        <v>56</v>
      </c>
      <c r="P24" s="2">
        <v>1</v>
      </c>
      <c r="Q24" s="2" t="s">
        <v>71</v>
      </c>
    </row>
    <row r="25" spans="1:17" x14ac:dyDescent="0.3">
      <c r="A25" s="2">
        <v>24</v>
      </c>
      <c r="B25" s="2">
        <v>6</v>
      </c>
      <c r="C25" s="2">
        <v>4</v>
      </c>
      <c r="D25" s="2">
        <v>408081.18</v>
      </c>
      <c r="E25" s="2">
        <v>7776.7</v>
      </c>
      <c r="F25" s="2">
        <v>849.79939999999999</v>
      </c>
      <c r="G25" s="2">
        <v>0</v>
      </c>
      <c r="H25" s="2">
        <v>639.03499999999997</v>
      </c>
      <c r="I25" s="2">
        <v>340.84440000000001</v>
      </c>
      <c r="J25" s="2">
        <v>36</v>
      </c>
      <c r="K25" s="2">
        <v>100</v>
      </c>
      <c r="L25" s="2">
        <v>21.07</v>
      </c>
      <c r="M25" s="2">
        <v>0</v>
      </c>
      <c r="N25" s="2" t="s">
        <v>19</v>
      </c>
      <c r="O25" s="2" t="s">
        <v>56</v>
      </c>
      <c r="P25" s="2">
        <v>1</v>
      </c>
      <c r="Q25" s="2" t="s">
        <v>71</v>
      </c>
    </row>
    <row r="26" spans="1:17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 t="s">
        <v>72</v>
      </c>
      <c r="O26" s="2" t="s">
        <v>73</v>
      </c>
      <c r="P26" s="2"/>
      <c r="Q26" s="2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7"/>
  <sheetViews>
    <sheetView tabSelected="1" topLeftCell="F1" workbookViewId="0">
      <pane ySplit="1" topLeftCell="A8" activePane="bottomLeft" state="frozen"/>
      <selection pane="bottomLeft" activeCell="M27" sqref="M27"/>
    </sheetView>
  </sheetViews>
  <sheetFormatPr defaultRowHeight="13.5" x14ac:dyDescent="0.3"/>
  <cols>
    <col min="1" max="3" width="11" customWidth="1"/>
    <col min="4" max="4" width="16" customWidth="1"/>
    <col min="5" max="5" width="15" customWidth="1"/>
    <col min="6" max="6" width="19" customWidth="1"/>
    <col min="7" max="7" width="17" customWidth="1"/>
    <col min="8" max="8" width="13" customWidth="1"/>
    <col min="9" max="9" width="28" customWidth="1"/>
    <col min="10" max="10" width="22" customWidth="1"/>
    <col min="11" max="11" width="24" customWidth="1"/>
    <col min="12" max="12" width="18" customWidth="1"/>
    <col min="13" max="13" width="15" customWidth="1"/>
    <col min="14" max="37" width="9" customWidth="1"/>
    <col min="38" max="38" width="8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49</v>
      </c>
    </row>
    <row r="2" spans="1:38" x14ac:dyDescent="0.3">
      <c r="A2" s="2">
        <v>1</v>
      </c>
      <c r="B2" s="2">
        <v>1</v>
      </c>
      <c r="C2" s="2">
        <v>1</v>
      </c>
      <c r="D2" s="2">
        <v>0.11600000000000001</v>
      </c>
      <c r="E2" s="2">
        <v>5.8000000000000003E-2</v>
      </c>
      <c r="F2" s="2">
        <v>7733.33</v>
      </c>
      <c r="G2" s="2">
        <v>4100489.52</v>
      </c>
      <c r="H2" s="2">
        <v>4108222.85</v>
      </c>
      <c r="I2" s="2">
        <v>1.000615</v>
      </c>
      <c r="J2" s="2">
        <v>0.99938499999999997</v>
      </c>
      <c r="K2" s="2">
        <v>0</v>
      </c>
      <c r="L2" s="2">
        <v>5617.66</v>
      </c>
      <c r="M2" s="2">
        <v>25.133700000000001</v>
      </c>
      <c r="N2" s="2">
        <v>5.8000000000000003E-2</v>
      </c>
      <c r="O2" s="2">
        <v>7.6200000000000004E-2</v>
      </c>
      <c r="P2" s="2">
        <v>1.1599999999999999E-2</v>
      </c>
      <c r="Q2" s="2">
        <v>6.3799999999999996E-2</v>
      </c>
      <c r="R2" s="2">
        <v>2.4E-2</v>
      </c>
      <c r="S2" s="2">
        <v>7.6200000000000004E-2</v>
      </c>
      <c r="T2" s="2">
        <v>1.1599999999999999E-2</v>
      </c>
      <c r="U2" s="2">
        <v>6.3799999999999996E-2</v>
      </c>
      <c r="V2" s="2">
        <v>0.10440000000000001</v>
      </c>
      <c r="W2" s="2">
        <v>5.2299999999999999E-2</v>
      </c>
      <c r="X2" s="2">
        <v>0.10440000000000001</v>
      </c>
      <c r="Y2" s="2">
        <v>5.2299999999999999E-2</v>
      </c>
      <c r="Z2" s="2">
        <v>0.10440000000000001</v>
      </c>
      <c r="AA2" s="2">
        <v>5.2299999999999999E-2</v>
      </c>
      <c r="AB2" s="2">
        <v>0.10440000000000001</v>
      </c>
      <c r="AC2" s="2">
        <v>5.2299999999999999E-2</v>
      </c>
      <c r="AD2" s="2">
        <v>0.10440000000000001</v>
      </c>
      <c r="AE2" s="2">
        <v>5.2299999999999999E-2</v>
      </c>
      <c r="AF2" s="2">
        <v>0.10440000000000001</v>
      </c>
      <c r="AG2" s="2">
        <v>0.10440000000000001</v>
      </c>
      <c r="AH2" s="2">
        <v>0.10440000000000001</v>
      </c>
      <c r="AI2" s="2">
        <v>3.9699999999999999E-2</v>
      </c>
      <c r="AJ2" s="2">
        <v>1.1599999999999999E-2</v>
      </c>
      <c r="AK2" s="2">
        <v>5.2299999999999999E-2</v>
      </c>
      <c r="AL2" s="2" t="s">
        <v>56</v>
      </c>
    </row>
    <row r="3" spans="1:38" x14ac:dyDescent="0.3">
      <c r="A3" s="2">
        <v>2</v>
      </c>
      <c r="B3" s="2">
        <v>1</v>
      </c>
      <c r="C3" s="2">
        <v>2</v>
      </c>
      <c r="D3" s="2">
        <v>0.11600000000000001</v>
      </c>
      <c r="E3" s="2">
        <v>5.8000000000000003E-2</v>
      </c>
      <c r="F3" s="2">
        <v>7733.33</v>
      </c>
      <c r="G3" s="2">
        <v>2277148.75</v>
      </c>
      <c r="H3" s="2">
        <v>2284882.09</v>
      </c>
      <c r="I3" s="2">
        <v>1.0009749999999999</v>
      </c>
      <c r="J3" s="2">
        <v>0.99902599999999997</v>
      </c>
      <c r="K3" s="2">
        <v>0</v>
      </c>
      <c r="L3" s="2">
        <v>4632.16</v>
      </c>
      <c r="M3" s="2">
        <v>22.896899999999999</v>
      </c>
      <c r="N3" s="2">
        <v>5.8000000000000003E-2</v>
      </c>
      <c r="O3" s="2">
        <v>7.6200000000000004E-2</v>
      </c>
      <c r="P3" s="2">
        <v>1.1599999999999999E-2</v>
      </c>
      <c r="Q3" s="2">
        <v>6.3799999999999996E-2</v>
      </c>
      <c r="R3" s="2">
        <v>0.10440000000000001</v>
      </c>
      <c r="S3" s="2">
        <v>3.9699999999999999E-2</v>
      </c>
      <c r="T3" s="2">
        <v>7.6200000000000004E-2</v>
      </c>
      <c r="U3" s="2">
        <v>1.1599999999999999E-2</v>
      </c>
      <c r="V3" s="2">
        <v>6.3799999999999996E-2</v>
      </c>
      <c r="W3" s="2">
        <v>0.10440000000000001</v>
      </c>
      <c r="X3" s="2">
        <v>5.2299999999999999E-2</v>
      </c>
      <c r="Y3" s="2">
        <v>0.10440000000000001</v>
      </c>
      <c r="Z3" s="2">
        <v>5.2299999999999999E-2</v>
      </c>
      <c r="AA3" s="2">
        <v>0.10440000000000001</v>
      </c>
      <c r="AB3" s="2">
        <v>5.2299999999999999E-2</v>
      </c>
      <c r="AC3" s="2">
        <v>0.10440000000000001</v>
      </c>
      <c r="AD3" s="2">
        <v>5.2299999999999999E-2</v>
      </c>
      <c r="AE3" s="2">
        <v>0.10440000000000001</v>
      </c>
      <c r="AF3" s="2">
        <v>0.10440000000000001</v>
      </c>
      <c r="AG3" s="2">
        <v>5.2299999999999999E-2</v>
      </c>
      <c r="AH3" s="2">
        <v>0.10440000000000001</v>
      </c>
      <c r="AI3" s="2">
        <v>3.9699999999999999E-2</v>
      </c>
      <c r="AJ3" s="2">
        <v>1.1599999999999999E-2</v>
      </c>
      <c r="AK3" s="2">
        <v>5.2299999999999999E-2</v>
      </c>
      <c r="AL3" s="2" t="s">
        <v>56</v>
      </c>
    </row>
    <row r="4" spans="1:38" x14ac:dyDescent="0.3">
      <c r="A4" s="2">
        <v>3</v>
      </c>
      <c r="B4" s="2">
        <v>1</v>
      </c>
      <c r="C4" s="2">
        <v>3</v>
      </c>
      <c r="D4" s="2">
        <v>0.11600000000000001</v>
      </c>
      <c r="E4" s="2">
        <v>5.8000000000000003E-2</v>
      </c>
      <c r="F4" s="2">
        <v>7733.33</v>
      </c>
      <c r="G4" s="2">
        <v>1221033.6599999999</v>
      </c>
      <c r="H4" s="2">
        <v>1228766.99</v>
      </c>
      <c r="I4" s="2">
        <v>1.001425</v>
      </c>
      <c r="J4" s="2">
        <v>0.99857700000000005</v>
      </c>
      <c r="K4" s="2">
        <v>0</v>
      </c>
      <c r="L4" s="2">
        <v>4151.42</v>
      </c>
      <c r="M4" s="2">
        <v>18.990600000000001</v>
      </c>
      <c r="N4" s="2">
        <v>5.8000000000000003E-2</v>
      </c>
      <c r="O4" s="2">
        <v>7.6200000000000004E-2</v>
      </c>
      <c r="P4" s="2">
        <v>1.1599999999999999E-2</v>
      </c>
      <c r="Q4" s="2">
        <v>6.3799999999999996E-2</v>
      </c>
      <c r="R4" s="2">
        <v>1.1599999999999999E-2</v>
      </c>
      <c r="S4" s="2">
        <v>6.3799999999999996E-2</v>
      </c>
      <c r="T4" s="2">
        <v>0.10440000000000001</v>
      </c>
      <c r="U4" s="2">
        <v>3.9699999999999999E-2</v>
      </c>
      <c r="V4" s="2">
        <v>9.1899999999999996E-2</v>
      </c>
      <c r="W4" s="2">
        <v>0.10440000000000001</v>
      </c>
      <c r="X4" s="2">
        <v>5.2299999999999999E-2</v>
      </c>
      <c r="Y4" s="2">
        <v>0.10440000000000001</v>
      </c>
      <c r="Z4" s="2">
        <v>8.8700000000000001E-2</v>
      </c>
      <c r="AA4" s="2">
        <v>2.4E-2</v>
      </c>
      <c r="AB4" s="2">
        <v>7.6200000000000004E-2</v>
      </c>
      <c r="AC4" s="2">
        <v>1.1599999999999999E-2</v>
      </c>
      <c r="AD4" s="2">
        <v>6.3799999999999996E-2</v>
      </c>
      <c r="AE4" s="2">
        <v>0.10440000000000001</v>
      </c>
      <c r="AF4" s="2">
        <v>3.9699999999999999E-2</v>
      </c>
      <c r="AG4" s="2">
        <v>9.1899999999999996E-2</v>
      </c>
      <c r="AH4" s="2">
        <v>0.10440000000000001</v>
      </c>
      <c r="AI4" s="2">
        <v>3.9699999999999999E-2</v>
      </c>
      <c r="AJ4" s="2">
        <v>1.1599999999999999E-2</v>
      </c>
      <c r="AK4" s="2">
        <v>5.2299999999999999E-2</v>
      </c>
      <c r="AL4" s="2" t="s">
        <v>56</v>
      </c>
    </row>
    <row r="5" spans="1:38" x14ac:dyDescent="0.3">
      <c r="A5" s="2">
        <v>4</v>
      </c>
      <c r="B5" s="2">
        <v>1</v>
      </c>
      <c r="C5" s="2">
        <v>4</v>
      </c>
      <c r="D5" s="2">
        <v>0.11600000000000001</v>
      </c>
      <c r="E5" s="2">
        <v>5.8000000000000003E-2</v>
      </c>
      <c r="F5" s="2">
        <v>7733.33</v>
      </c>
      <c r="G5" s="2">
        <v>958360.29</v>
      </c>
      <c r="H5" s="2">
        <v>966093.62</v>
      </c>
      <c r="I5" s="2">
        <v>1.0018819999999999</v>
      </c>
      <c r="J5" s="2">
        <v>0.99812199999999995</v>
      </c>
      <c r="K5" s="2">
        <v>0</v>
      </c>
      <c r="L5" s="2">
        <v>4332.78</v>
      </c>
      <c r="M5" s="2">
        <v>14.5982</v>
      </c>
      <c r="N5" s="2">
        <v>5.8000000000000003E-2</v>
      </c>
      <c r="O5" s="2">
        <v>7.6200000000000004E-2</v>
      </c>
      <c r="P5" s="2">
        <v>1.1599999999999999E-2</v>
      </c>
      <c r="Q5" s="2">
        <v>6.3799999999999996E-2</v>
      </c>
      <c r="R5" s="2">
        <v>0.10440000000000001</v>
      </c>
      <c r="S5" s="2">
        <v>3.9699999999999999E-2</v>
      </c>
      <c r="T5" s="2">
        <v>9.1899999999999996E-2</v>
      </c>
      <c r="U5" s="2">
        <v>2.7199999999999998E-2</v>
      </c>
      <c r="V5" s="2">
        <v>7.9399999999999998E-2</v>
      </c>
      <c r="W5" s="2">
        <v>0.10440000000000001</v>
      </c>
      <c r="X5" s="2">
        <v>3.9699999999999999E-2</v>
      </c>
      <c r="Y5" s="2">
        <v>7.6200000000000004E-2</v>
      </c>
      <c r="Z5" s="2">
        <v>1.1599999999999999E-2</v>
      </c>
      <c r="AA5" s="2">
        <v>6.3799999999999996E-2</v>
      </c>
      <c r="AB5" s="2">
        <v>0.10440000000000001</v>
      </c>
      <c r="AC5" s="2">
        <v>5.2299999999999999E-2</v>
      </c>
      <c r="AD5" s="2">
        <v>0.10440000000000001</v>
      </c>
      <c r="AE5" s="2">
        <v>5.2299999999999999E-2</v>
      </c>
      <c r="AF5" s="2">
        <v>0.10440000000000001</v>
      </c>
      <c r="AG5" s="2">
        <v>5.2299999999999999E-2</v>
      </c>
      <c r="AH5" s="2">
        <v>0.10440000000000001</v>
      </c>
      <c r="AI5" s="2">
        <v>3.9699999999999999E-2</v>
      </c>
      <c r="AJ5" s="2">
        <v>1.1599999999999999E-2</v>
      </c>
      <c r="AK5" s="2">
        <v>5.2299999999999999E-2</v>
      </c>
      <c r="AL5" s="2" t="s">
        <v>56</v>
      </c>
    </row>
    <row r="6" spans="1:38" x14ac:dyDescent="0.3">
      <c r="A6" s="2">
        <v>5</v>
      </c>
      <c r="B6" s="2">
        <v>2</v>
      </c>
      <c r="C6" s="2">
        <v>1</v>
      </c>
      <c r="D6" s="2">
        <v>0.27639999999999998</v>
      </c>
      <c r="E6" s="2">
        <v>0.13819999999999999</v>
      </c>
      <c r="F6" s="2">
        <v>18426.669999999998</v>
      </c>
      <c r="G6" s="2">
        <v>3423410.15</v>
      </c>
      <c r="H6" s="2">
        <v>3441836.82</v>
      </c>
      <c r="I6" s="2">
        <v>1.0018199999999999</v>
      </c>
      <c r="J6" s="2">
        <v>0.99818399999999996</v>
      </c>
      <c r="K6" s="2">
        <v>0</v>
      </c>
      <c r="L6" s="2">
        <v>5390.1</v>
      </c>
      <c r="M6" s="2">
        <v>22.482600000000001</v>
      </c>
      <c r="N6" s="2">
        <v>0.13819999999999999</v>
      </c>
      <c r="O6" s="2">
        <v>0.24879999999999999</v>
      </c>
      <c r="P6" s="2">
        <v>9.4700000000000006E-2</v>
      </c>
      <c r="Q6" s="2">
        <v>0.21890000000000001</v>
      </c>
      <c r="R6" s="2">
        <v>6.4899999999999999E-2</v>
      </c>
      <c r="S6" s="2">
        <v>0.18160000000000001</v>
      </c>
      <c r="T6" s="2">
        <v>2.76E-2</v>
      </c>
      <c r="U6" s="2">
        <v>2.76E-2</v>
      </c>
      <c r="V6" s="2">
        <v>0.152</v>
      </c>
      <c r="W6" s="2">
        <v>0.24879999999999999</v>
      </c>
      <c r="X6" s="2">
        <v>0.11700000000000001</v>
      </c>
      <c r="Y6" s="2">
        <v>0.24110000000000001</v>
      </c>
      <c r="Z6" s="2">
        <v>8.7099999999999997E-2</v>
      </c>
      <c r="AA6" s="2">
        <v>0.21129999999999999</v>
      </c>
      <c r="AB6" s="2">
        <v>5.7299999999999997E-2</v>
      </c>
      <c r="AC6" s="2">
        <v>0.18160000000000001</v>
      </c>
      <c r="AD6" s="2">
        <v>2.76E-2</v>
      </c>
      <c r="AE6" s="2">
        <v>0.152</v>
      </c>
      <c r="AF6" s="2">
        <v>0.24879999999999999</v>
      </c>
      <c r="AG6" s="2">
        <v>0.24879999999999999</v>
      </c>
      <c r="AH6" s="2">
        <v>0.1246</v>
      </c>
      <c r="AI6" s="2">
        <v>0.24879999999999999</v>
      </c>
      <c r="AJ6" s="2">
        <v>9.4700000000000006E-2</v>
      </c>
      <c r="AK6" s="2">
        <v>0.21890000000000001</v>
      </c>
      <c r="AL6" s="2" t="s">
        <v>56</v>
      </c>
    </row>
    <row r="7" spans="1:38" x14ac:dyDescent="0.3">
      <c r="A7" s="2">
        <v>6</v>
      </c>
      <c r="B7" s="2">
        <v>2</v>
      </c>
      <c r="C7" s="2">
        <v>2</v>
      </c>
      <c r="D7" s="2">
        <v>0.27639999999999998</v>
      </c>
      <c r="E7" s="2">
        <v>0.13819999999999999</v>
      </c>
      <c r="F7" s="2">
        <v>18426.669999999998</v>
      </c>
      <c r="G7" s="2">
        <v>1688485.24</v>
      </c>
      <c r="H7" s="2">
        <v>1706911.91</v>
      </c>
      <c r="I7" s="2">
        <v>1.0029110000000001</v>
      </c>
      <c r="J7" s="2">
        <v>0.99709700000000001</v>
      </c>
      <c r="K7" s="2">
        <v>0</v>
      </c>
      <c r="L7" s="2">
        <v>4494.42</v>
      </c>
      <c r="M7" s="2">
        <v>18.367599999999999</v>
      </c>
      <c r="N7" s="2">
        <v>0.13819999999999999</v>
      </c>
      <c r="O7" s="2">
        <v>0.24879999999999999</v>
      </c>
      <c r="P7" s="2">
        <v>0.1246</v>
      </c>
      <c r="Q7" s="2">
        <v>0.24879999999999999</v>
      </c>
      <c r="R7" s="2">
        <v>9.4700000000000006E-2</v>
      </c>
      <c r="S7" s="2">
        <v>0.21890000000000001</v>
      </c>
      <c r="T7" s="2">
        <v>6.4899999999999999E-2</v>
      </c>
      <c r="U7" s="2">
        <v>0.18160000000000001</v>
      </c>
      <c r="V7" s="2">
        <v>2.76E-2</v>
      </c>
      <c r="W7" s="2">
        <v>0.152</v>
      </c>
      <c r="X7" s="2">
        <v>2.76E-2</v>
      </c>
      <c r="Y7" s="2">
        <v>0.152</v>
      </c>
      <c r="Z7" s="2">
        <v>0.24879999999999999</v>
      </c>
      <c r="AA7" s="2">
        <v>9.4700000000000006E-2</v>
      </c>
      <c r="AB7" s="2">
        <v>0.21890000000000001</v>
      </c>
      <c r="AC7" s="2">
        <v>6.4899999999999999E-2</v>
      </c>
      <c r="AD7" s="2">
        <v>0.18920000000000001</v>
      </c>
      <c r="AE7" s="2">
        <v>0.24879999999999999</v>
      </c>
      <c r="AF7" s="2">
        <v>0.24879999999999999</v>
      </c>
      <c r="AG7" s="2">
        <v>0.24879999999999999</v>
      </c>
      <c r="AH7" s="2">
        <v>0.1246</v>
      </c>
      <c r="AI7" s="2">
        <v>0.24879999999999999</v>
      </c>
      <c r="AJ7" s="2">
        <v>9.4700000000000006E-2</v>
      </c>
      <c r="AK7" s="2">
        <v>0.21890000000000001</v>
      </c>
      <c r="AL7" s="2" t="s">
        <v>56</v>
      </c>
    </row>
    <row r="8" spans="1:38" x14ac:dyDescent="0.3">
      <c r="A8" s="2">
        <v>7</v>
      </c>
      <c r="B8" s="2">
        <v>2</v>
      </c>
      <c r="C8" s="2">
        <v>3</v>
      </c>
      <c r="D8" s="2">
        <v>0.27639999999999998</v>
      </c>
      <c r="E8" s="2">
        <v>0.13819999999999999</v>
      </c>
      <c r="F8" s="2">
        <v>18426.669999999998</v>
      </c>
      <c r="G8" s="2">
        <v>767915.78</v>
      </c>
      <c r="H8" s="2">
        <v>786342.45</v>
      </c>
      <c r="I8" s="2">
        <v>1.004993</v>
      </c>
      <c r="J8" s="2">
        <v>0.99503200000000003</v>
      </c>
      <c r="K8" s="2">
        <v>0</v>
      </c>
      <c r="L8" s="2">
        <v>4284</v>
      </c>
      <c r="M8" s="2">
        <v>11.8771</v>
      </c>
      <c r="N8" s="2">
        <v>0.13819999999999999</v>
      </c>
      <c r="O8" s="2">
        <v>0.24879999999999999</v>
      </c>
      <c r="P8" s="2">
        <v>0.1246</v>
      </c>
      <c r="Q8" s="2">
        <v>0.24879999999999999</v>
      </c>
      <c r="R8" s="2">
        <v>0.1246</v>
      </c>
      <c r="S8" s="2">
        <v>0.24879999999999999</v>
      </c>
      <c r="T8" s="2">
        <v>0.1246</v>
      </c>
      <c r="U8" s="2">
        <v>0.24879999999999999</v>
      </c>
      <c r="V8" s="2">
        <v>0.1246</v>
      </c>
      <c r="W8" s="2">
        <v>0.24879999999999999</v>
      </c>
      <c r="X8" s="2">
        <v>0.18160000000000001</v>
      </c>
      <c r="Y8" s="2">
        <v>2.76E-2</v>
      </c>
      <c r="Z8" s="2">
        <v>0.152</v>
      </c>
      <c r="AA8" s="2">
        <v>0.24879999999999999</v>
      </c>
      <c r="AB8" s="2">
        <v>9.4700000000000006E-2</v>
      </c>
      <c r="AC8" s="2">
        <v>0.21890000000000001</v>
      </c>
      <c r="AD8" s="2">
        <v>0.24879999999999999</v>
      </c>
      <c r="AE8" s="2">
        <v>9.4700000000000006E-2</v>
      </c>
      <c r="AF8" s="2">
        <v>0.21890000000000001</v>
      </c>
      <c r="AG8" s="2">
        <v>0.24879999999999999</v>
      </c>
      <c r="AH8" s="2">
        <v>0.1246</v>
      </c>
      <c r="AI8" s="2">
        <v>0.24879999999999999</v>
      </c>
      <c r="AJ8" s="2">
        <v>9.4700000000000006E-2</v>
      </c>
      <c r="AK8" s="2">
        <v>0.21890000000000001</v>
      </c>
      <c r="AL8" s="2" t="s">
        <v>56</v>
      </c>
    </row>
    <row r="9" spans="1:38" x14ac:dyDescent="0.3">
      <c r="A9" s="2">
        <v>8</v>
      </c>
      <c r="B9" s="2">
        <v>2</v>
      </c>
      <c r="C9" s="2">
        <v>4</v>
      </c>
      <c r="D9" s="2">
        <v>0.27639999999999998</v>
      </c>
      <c r="E9" s="2">
        <v>0.13819999999999999</v>
      </c>
      <c r="F9" s="2">
        <v>18426.669999999998</v>
      </c>
      <c r="G9" s="2">
        <v>557365.94999999995</v>
      </c>
      <c r="H9" s="2">
        <v>575792.61</v>
      </c>
      <c r="I9" s="2">
        <v>1.0075099999999999</v>
      </c>
      <c r="J9" s="2">
        <v>0.99254600000000004</v>
      </c>
      <c r="K9" s="2">
        <v>0</v>
      </c>
      <c r="L9" s="2">
        <v>5010.8900000000003</v>
      </c>
      <c r="M9" s="2">
        <v>7.0499000000000001</v>
      </c>
      <c r="N9" s="2">
        <v>0.13819999999999999</v>
      </c>
      <c r="O9" s="2">
        <v>0.24879999999999999</v>
      </c>
      <c r="P9" s="2">
        <v>0.1246</v>
      </c>
      <c r="Q9" s="2">
        <v>0.24879999999999999</v>
      </c>
      <c r="R9" s="2">
        <v>9.4700000000000006E-2</v>
      </c>
      <c r="S9" s="2">
        <v>0.21890000000000001</v>
      </c>
      <c r="T9" s="2">
        <v>6.4899999999999999E-2</v>
      </c>
      <c r="U9" s="2">
        <v>0.18160000000000001</v>
      </c>
      <c r="V9" s="2">
        <v>2.76E-2</v>
      </c>
      <c r="W9" s="2">
        <v>0.152</v>
      </c>
      <c r="X9" s="2">
        <v>0.24879999999999999</v>
      </c>
      <c r="Y9" s="2">
        <v>0.1246</v>
      </c>
      <c r="Z9" s="2">
        <v>0.24879999999999999</v>
      </c>
      <c r="AA9" s="2">
        <v>0.1246</v>
      </c>
      <c r="AB9" s="2">
        <v>0.24879999999999999</v>
      </c>
      <c r="AC9" s="2">
        <v>9.4700000000000006E-2</v>
      </c>
      <c r="AD9" s="2">
        <v>0.21890000000000001</v>
      </c>
      <c r="AE9" s="2">
        <v>6.4899999999999999E-2</v>
      </c>
      <c r="AF9" s="2">
        <v>0.18920000000000001</v>
      </c>
      <c r="AG9" s="2">
        <v>0.24879999999999999</v>
      </c>
      <c r="AH9" s="2">
        <v>0.1246</v>
      </c>
      <c r="AI9" s="2">
        <v>0.24879999999999999</v>
      </c>
      <c r="AJ9" s="2">
        <v>9.4700000000000006E-2</v>
      </c>
      <c r="AK9" s="2">
        <v>0.21890000000000001</v>
      </c>
      <c r="AL9" s="2" t="s">
        <v>56</v>
      </c>
    </row>
    <row r="10" spans="1:38" x14ac:dyDescent="0.3">
      <c r="A10" s="2">
        <v>9</v>
      </c>
      <c r="B10" s="2">
        <v>3</v>
      </c>
      <c r="C10" s="2">
        <v>1</v>
      </c>
      <c r="D10" s="2">
        <v>0</v>
      </c>
      <c r="E10" s="2">
        <v>0</v>
      </c>
      <c r="F10" s="2">
        <v>0</v>
      </c>
      <c r="G10" s="2">
        <v>4154024.15</v>
      </c>
      <c r="H10" s="2">
        <v>4154024.15</v>
      </c>
      <c r="I10" s="2">
        <v>1</v>
      </c>
      <c r="J10" s="2">
        <v>1</v>
      </c>
      <c r="K10" s="2">
        <v>0</v>
      </c>
      <c r="L10" s="2">
        <v>5474.59</v>
      </c>
      <c r="M10" s="2">
        <v>26.763300000000001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 t="s">
        <v>56</v>
      </c>
    </row>
    <row r="11" spans="1:38" x14ac:dyDescent="0.3">
      <c r="A11" s="2">
        <v>10</v>
      </c>
      <c r="B11" s="2">
        <v>3</v>
      </c>
      <c r="C11" s="2">
        <v>2</v>
      </c>
      <c r="D11" s="2">
        <v>0</v>
      </c>
      <c r="E11" s="2">
        <v>0</v>
      </c>
      <c r="F11" s="2">
        <v>0</v>
      </c>
      <c r="G11" s="2">
        <v>2328926.25</v>
      </c>
      <c r="H11" s="2">
        <v>2328926.25</v>
      </c>
      <c r="I11" s="2">
        <v>1</v>
      </c>
      <c r="J11" s="2">
        <v>1</v>
      </c>
      <c r="K11" s="2">
        <v>0</v>
      </c>
      <c r="L11" s="2">
        <v>4546.83</v>
      </c>
      <c r="M11" s="2">
        <v>24.4026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 t="s">
        <v>56</v>
      </c>
    </row>
    <row r="12" spans="1:38" x14ac:dyDescent="0.3">
      <c r="A12" s="2">
        <v>11</v>
      </c>
      <c r="B12" s="2">
        <v>3</v>
      </c>
      <c r="C12" s="2">
        <v>3</v>
      </c>
      <c r="D12" s="2">
        <v>0</v>
      </c>
      <c r="E12" s="2">
        <v>0</v>
      </c>
      <c r="F12" s="2">
        <v>0</v>
      </c>
      <c r="G12" s="2">
        <v>1264232.99</v>
      </c>
      <c r="H12" s="2">
        <v>1264232.99</v>
      </c>
      <c r="I12" s="2">
        <v>1</v>
      </c>
      <c r="J12" s="2">
        <v>1</v>
      </c>
      <c r="K12" s="2">
        <v>0</v>
      </c>
      <c r="L12" s="2">
        <v>4069.98</v>
      </c>
      <c r="M12" s="2">
        <v>20.583500000000001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 t="s">
        <v>56</v>
      </c>
    </row>
    <row r="13" spans="1:38" x14ac:dyDescent="0.3">
      <c r="A13" s="2">
        <v>12</v>
      </c>
      <c r="B13" s="2">
        <v>3</v>
      </c>
      <c r="C13" s="2">
        <v>4</v>
      </c>
      <c r="D13" s="2">
        <v>0</v>
      </c>
      <c r="E13" s="2">
        <v>0</v>
      </c>
      <c r="F13" s="2">
        <v>0</v>
      </c>
      <c r="G13" s="2">
        <v>1012616.68</v>
      </c>
      <c r="H13" s="2">
        <v>1012616.68</v>
      </c>
      <c r="I13" s="2">
        <v>1</v>
      </c>
      <c r="J13" s="2">
        <v>1</v>
      </c>
      <c r="K13" s="2">
        <v>0</v>
      </c>
      <c r="L13" s="2">
        <v>4251.42</v>
      </c>
      <c r="M13" s="2">
        <v>15.8789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 t="s">
        <v>56</v>
      </c>
    </row>
    <row r="14" spans="1:38" x14ac:dyDescent="0.3">
      <c r="A14" s="2">
        <v>13</v>
      </c>
      <c r="B14" s="2">
        <v>4</v>
      </c>
      <c r="C14" s="2">
        <v>1</v>
      </c>
      <c r="D14" s="2">
        <v>0</v>
      </c>
      <c r="E14" s="2">
        <v>0</v>
      </c>
      <c r="F14" s="2">
        <v>0</v>
      </c>
      <c r="G14" s="2">
        <v>4846055.0199999996</v>
      </c>
      <c r="H14" s="2">
        <v>4846055.0199999996</v>
      </c>
      <c r="I14" s="2">
        <v>1</v>
      </c>
      <c r="J14" s="2">
        <v>1</v>
      </c>
      <c r="K14" s="2">
        <v>0</v>
      </c>
      <c r="L14" s="2">
        <v>5795.6</v>
      </c>
      <c r="M14" s="2">
        <v>28.252400000000002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 t="s">
        <v>56</v>
      </c>
    </row>
    <row r="15" spans="1:38" x14ac:dyDescent="0.3">
      <c r="A15" s="2">
        <v>14</v>
      </c>
      <c r="B15" s="2">
        <v>4</v>
      </c>
      <c r="C15" s="2">
        <v>2</v>
      </c>
      <c r="D15" s="2">
        <v>0</v>
      </c>
      <c r="E15" s="2">
        <v>0</v>
      </c>
      <c r="F15" s="2">
        <v>0</v>
      </c>
      <c r="G15" s="2">
        <v>2931672.31</v>
      </c>
      <c r="H15" s="2">
        <v>2931672.31</v>
      </c>
      <c r="I15" s="2">
        <v>1</v>
      </c>
      <c r="J15" s="2">
        <v>1</v>
      </c>
      <c r="K15" s="2">
        <v>0</v>
      </c>
      <c r="L15" s="2">
        <v>4734.38</v>
      </c>
      <c r="M15" s="2">
        <v>27.880700000000001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 t="s">
        <v>56</v>
      </c>
    </row>
    <row r="16" spans="1:38" x14ac:dyDescent="0.3">
      <c r="A16" s="2">
        <v>15</v>
      </c>
      <c r="B16" s="2">
        <v>4</v>
      </c>
      <c r="C16" s="2">
        <v>3</v>
      </c>
      <c r="D16" s="2">
        <v>0</v>
      </c>
      <c r="E16" s="2">
        <v>0</v>
      </c>
      <c r="F16" s="2">
        <v>0</v>
      </c>
      <c r="G16" s="2">
        <v>1769224.46</v>
      </c>
      <c r="H16" s="2">
        <v>1769224.46</v>
      </c>
      <c r="I16" s="2">
        <v>1</v>
      </c>
      <c r="J16" s="2">
        <v>1</v>
      </c>
      <c r="K16" s="2">
        <v>0</v>
      </c>
      <c r="L16" s="2">
        <v>4155.84</v>
      </c>
      <c r="M16" s="2">
        <v>26.1968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 t="s">
        <v>56</v>
      </c>
    </row>
    <row r="17" spans="1:38" x14ac:dyDescent="0.3">
      <c r="A17" s="2">
        <v>16</v>
      </c>
      <c r="B17" s="2">
        <v>4</v>
      </c>
      <c r="C17" s="2">
        <v>4</v>
      </c>
      <c r="D17" s="2">
        <v>0</v>
      </c>
      <c r="E17" s="2">
        <v>0</v>
      </c>
      <c r="F17" s="2">
        <v>0</v>
      </c>
      <c r="G17" s="2">
        <v>1463235.63</v>
      </c>
      <c r="H17" s="2">
        <v>1463235.63</v>
      </c>
      <c r="I17" s="2">
        <v>1</v>
      </c>
      <c r="J17" s="2">
        <v>1</v>
      </c>
      <c r="K17" s="2">
        <v>0</v>
      </c>
      <c r="L17" s="2">
        <v>4189.57</v>
      </c>
      <c r="M17" s="2">
        <v>22.529599999999999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 t="s">
        <v>56</v>
      </c>
    </row>
    <row r="18" spans="1:38" x14ac:dyDescent="0.3">
      <c r="A18" s="2">
        <v>17</v>
      </c>
      <c r="B18" s="2">
        <v>5</v>
      </c>
      <c r="C18" s="2">
        <v>1</v>
      </c>
      <c r="D18" s="2">
        <v>0</v>
      </c>
      <c r="E18" s="2">
        <v>0</v>
      </c>
      <c r="F18" s="2">
        <v>0</v>
      </c>
      <c r="G18" s="2">
        <v>4418910.8099999996</v>
      </c>
      <c r="H18" s="2">
        <v>4418910.8099999996</v>
      </c>
      <c r="I18" s="2">
        <v>1</v>
      </c>
      <c r="J18" s="2">
        <v>1</v>
      </c>
      <c r="K18" s="2">
        <v>0</v>
      </c>
      <c r="L18" s="2">
        <v>5589.95</v>
      </c>
      <c r="M18" s="2">
        <v>27.417899999999999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 t="s">
        <v>56</v>
      </c>
    </row>
    <row r="19" spans="1:38" x14ac:dyDescent="0.3">
      <c r="A19" s="2">
        <v>18</v>
      </c>
      <c r="B19" s="2">
        <v>5</v>
      </c>
      <c r="C19" s="2">
        <v>2</v>
      </c>
      <c r="D19" s="2">
        <v>0</v>
      </c>
      <c r="E19" s="2">
        <v>0</v>
      </c>
      <c r="F19" s="2">
        <v>0</v>
      </c>
      <c r="G19" s="2">
        <v>2596576.06</v>
      </c>
      <c r="H19" s="2">
        <v>2596576.06</v>
      </c>
      <c r="I19" s="2">
        <v>1</v>
      </c>
      <c r="J19" s="2">
        <v>1</v>
      </c>
      <c r="K19" s="2">
        <v>0</v>
      </c>
      <c r="L19" s="2">
        <v>4699.76</v>
      </c>
      <c r="M19" s="2">
        <v>25.064599999999999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 t="s">
        <v>56</v>
      </c>
    </row>
    <row r="20" spans="1:38" x14ac:dyDescent="0.3">
      <c r="A20" s="2">
        <v>19</v>
      </c>
      <c r="B20" s="2">
        <v>5</v>
      </c>
      <c r="C20" s="2">
        <v>3</v>
      </c>
      <c r="D20" s="2">
        <v>0</v>
      </c>
      <c r="E20" s="2">
        <v>0</v>
      </c>
      <c r="F20" s="2">
        <v>0</v>
      </c>
      <c r="G20" s="2">
        <v>1461873.97</v>
      </c>
      <c r="H20" s="2">
        <v>1461873.97</v>
      </c>
      <c r="I20" s="2">
        <v>1</v>
      </c>
      <c r="J20" s="2">
        <v>1</v>
      </c>
      <c r="K20" s="2">
        <v>0</v>
      </c>
      <c r="L20" s="2">
        <v>4100.5</v>
      </c>
      <c r="M20" s="2">
        <v>22.908200000000001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 t="s">
        <v>56</v>
      </c>
    </row>
    <row r="21" spans="1:38" x14ac:dyDescent="0.3">
      <c r="A21" s="2">
        <v>20</v>
      </c>
      <c r="B21" s="2">
        <v>5</v>
      </c>
      <c r="C21" s="2">
        <v>4</v>
      </c>
      <c r="D21" s="2">
        <v>0</v>
      </c>
      <c r="E21" s="2">
        <v>0</v>
      </c>
      <c r="F21" s="2">
        <v>0</v>
      </c>
      <c r="G21" s="2">
        <v>1177691.96</v>
      </c>
      <c r="H21" s="2">
        <v>1177691.96</v>
      </c>
      <c r="I21" s="2">
        <v>1</v>
      </c>
      <c r="J21" s="2">
        <v>1</v>
      </c>
      <c r="K21" s="2">
        <v>0</v>
      </c>
      <c r="L21" s="2">
        <v>4186.8</v>
      </c>
      <c r="M21" s="2">
        <v>18.752400000000002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 t="s">
        <v>56</v>
      </c>
    </row>
    <row r="22" spans="1:38" x14ac:dyDescent="0.3">
      <c r="A22" s="2">
        <v>21</v>
      </c>
      <c r="B22" s="2">
        <v>6</v>
      </c>
      <c r="C22" s="2">
        <v>1</v>
      </c>
      <c r="D22" s="2">
        <v>0</v>
      </c>
      <c r="E22" s="2">
        <v>0</v>
      </c>
      <c r="F22" s="2">
        <v>0</v>
      </c>
      <c r="G22" s="2">
        <v>3688520.1</v>
      </c>
      <c r="H22" s="2">
        <v>3688520.1</v>
      </c>
      <c r="I22" s="2">
        <v>1</v>
      </c>
      <c r="J22" s="2">
        <v>1</v>
      </c>
      <c r="K22" s="2">
        <v>0</v>
      </c>
      <c r="L22" s="2">
        <v>5249.76</v>
      </c>
      <c r="M22" s="2">
        <v>25.629799999999999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 t="s">
        <v>56</v>
      </c>
    </row>
    <row r="23" spans="1:38" x14ac:dyDescent="0.3">
      <c r="A23" s="2">
        <v>22</v>
      </c>
      <c r="B23" s="2">
        <v>6</v>
      </c>
      <c r="C23" s="2">
        <v>2</v>
      </c>
      <c r="D23" s="2">
        <v>0</v>
      </c>
      <c r="E23" s="2">
        <v>0</v>
      </c>
      <c r="F23" s="2">
        <v>0</v>
      </c>
      <c r="G23" s="2">
        <v>1902576.2</v>
      </c>
      <c r="H23" s="2">
        <v>1902576.2</v>
      </c>
      <c r="I23" s="2">
        <v>1</v>
      </c>
      <c r="J23" s="2">
        <v>1</v>
      </c>
      <c r="K23" s="2">
        <v>0</v>
      </c>
      <c r="L23" s="2">
        <v>4341.78</v>
      </c>
      <c r="M23" s="2">
        <v>22.4527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 t="s">
        <v>56</v>
      </c>
    </row>
    <row r="24" spans="1:38" x14ac:dyDescent="0.3">
      <c r="A24" s="2">
        <v>23</v>
      </c>
      <c r="B24" s="2">
        <v>6</v>
      </c>
      <c r="C24" s="2">
        <v>3</v>
      </c>
      <c r="D24" s="2">
        <v>0</v>
      </c>
      <c r="E24" s="2">
        <v>0</v>
      </c>
      <c r="F24" s="2">
        <v>0</v>
      </c>
      <c r="G24" s="2">
        <v>978810.46</v>
      </c>
      <c r="H24" s="2">
        <v>978810.46</v>
      </c>
      <c r="I24" s="2">
        <v>1</v>
      </c>
      <c r="J24" s="2">
        <v>1</v>
      </c>
      <c r="K24" s="2">
        <v>0</v>
      </c>
      <c r="L24" s="2">
        <v>4128.79</v>
      </c>
      <c r="M24" s="2">
        <v>15.7896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 t="s">
        <v>56</v>
      </c>
    </row>
    <row r="25" spans="1:38" x14ac:dyDescent="0.3">
      <c r="A25" s="2">
        <v>24</v>
      </c>
      <c r="B25" s="2">
        <v>6</v>
      </c>
      <c r="C25" s="2">
        <v>4</v>
      </c>
      <c r="D25" s="2">
        <v>6.0400000000000002E-2</v>
      </c>
      <c r="E25" s="2">
        <v>3.0200000000000001E-2</v>
      </c>
      <c r="F25" s="2">
        <v>4026.67</v>
      </c>
      <c r="G25" s="2">
        <v>753167.9</v>
      </c>
      <c r="H25" s="2">
        <v>757194.57</v>
      </c>
      <c r="I25" s="2">
        <v>1.001179</v>
      </c>
      <c r="J25" s="2">
        <v>0.99882199999999999</v>
      </c>
      <c r="K25" s="2">
        <v>0</v>
      </c>
      <c r="L25" s="2">
        <v>4456.32</v>
      </c>
      <c r="M25" s="2">
        <v>11.2546</v>
      </c>
      <c r="N25" s="2">
        <v>3.0200000000000001E-2</v>
      </c>
      <c r="O25" s="2">
        <v>5.4399999999999997E-2</v>
      </c>
      <c r="P25" s="2">
        <v>5.4399999999999997E-2</v>
      </c>
      <c r="Q25" s="2">
        <v>2.7199999999999998E-2</v>
      </c>
      <c r="R25" s="2">
        <v>5.4399999999999997E-2</v>
      </c>
      <c r="S25" s="2">
        <v>2.7199999999999998E-2</v>
      </c>
      <c r="T25" s="2">
        <v>5.4399999999999997E-2</v>
      </c>
      <c r="U25" s="2">
        <v>2.7199999999999998E-2</v>
      </c>
      <c r="V25" s="2">
        <v>5.4399999999999997E-2</v>
      </c>
      <c r="W25" s="2">
        <v>2.7199999999999998E-2</v>
      </c>
      <c r="X25" s="2">
        <v>5.4399999999999997E-2</v>
      </c>
      <c r="Y25" s="2">
        <v>2.07E-2</v>
      </c>
      <c r="Z25" s="2">
        <v>4.7800000000000002E-2</v>
      </c>
      <c r="AA25" s="2">
        <v>2.7199999999999998E-2</v>
      </c>
      <c r="AB25" s="2">
        <v>5.4399999999999997E-2</v>
      </c>
      <c r="AC25" s="2">
        <v>2.7199999999999998E-2</v>
      </c>
      <c r="AD25" s="2">
        <v>5.4399999999999997E-2</v>
      </c>
      <c r="AE25" s="2">
        <v>2.7199999999999998E-2</v>
      </c>
      <c r="AF25" s="2">
        <v>5.4399999999999997E-2</v>
      </c>
      <c r="AG25" s="2">
        <v>2.7199999999999998E-2</v>
      </c>
      <c r="AH25" s="2">
        <v>5.4399999999999997E-2</v>
      </c>
      <c r="AI25" s="2">
        <v>2.7199999999999998E-2</v>
      </c>
      <c r="AJ25" s="2">
        <v>5.4399999999999997E-2</v>
      </c>
      <c r="AK25" s="2">
        <v>2.7199999999999998E-2</v>
      </c>
      <c r="AL25" s="2" t="s">
        <v>56</v>
      </c>
    </row>
    <row r="26" spans="1:38" x14ac:dyDescent="0.3">
      <c r="M26">
        <f>SUM(M2:M25)</f>
        <v>503.1542</v>
      </c>
    </row>
    <row r="27" spans="1:38" x14ac:dyDescent="0.3">
      <c r="M27">
        <f>M26*15</f>
        <v>7547.3130000000001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8" customWidth="1"/>
    <col min="2" max="2" width="18" customWidth="1"/>
    <col min="3" max="3" width="28" customWidth="1"/>
    <col min="4" max="4" width="22" customWidth="1"/>
    <col min="5" max="5" width="24" customWidth="1"/>
    <col min="6" max="6" width="15" customWidth="1"/>
    <col min="7" max="7" width="8" customWidth="1"/>
  </cols>
  <sheetData>
    <row r="1" spans="1:7" x14ac:dyDescent="0.3">
      <c r="A1" s="1" t="s">
        <v>104</v>
      </c>
      <c r="B1" s="1" t="s">
        <v>10</v>
      </c>
      <c r="C1" s="1" t="s">
        <v>7</v>
      </c>
      <c r="D1" s="1" t="s">
        <v>8</v>
      </c>
      <c r="E1" s="1" t="s">
        <v>9</v>
      </c>
      <c r="F1" s="1" t="s">
        <v>105</v>
      </c>
      <c r="G1" s="1" t="s">
        <v>49</v>
      </c>
    </row>
    <row r="2" spans="1:7" x14ac:dyDescent="0.3">
      <c r="A2" s="2">
        <v>1</v>
      </c>
      <c r="B2" s="2">
        <v>4550.41</v>
      </c>
      <c r="C2" s="2">
        <v>0.72267800000000004</v>
      </c>
      <c r="D2" s="2">
        <v>0.61409800000000003</v>
      </c>
      <c r="E2" s="2">
        <v>0.13866100000000001</v>
      </c>
      <c r="F2" s="2">
        <v>108177.13</v>
      </c>
      <c r="G2" s="2" t="s">
        <v>56</v>
      </c>
    </row>
    <row r="3" spans="1:7" x14ac:dyDescent="0.3">
      <c r="A3" s="2">
        <v>1.1000000000000001</v>
      </c>
      <c r="B3" s="2">
        <v>4550.41</v>
      </c>
      <c r="C3" s="2">
        <v>0.72267800000000004</v>
      </c>
      <c r="D3" s="2">
        <v>0.61409800000000003</v>
      </c>
      <c r="E3" s="2">
        <v>0.13866100000000001</v>
      </c>
      <c r="F3" s="2">
        <v>108177.13</v>
      </c>
      <c r="G3" s="2" t="s">
        <v>56</v>
      </c>
    </row>
    <row r="4" spans="1:7" x14ac:dyDescent="0.3">
      <c r="A4" s="2">
        <v>1.2</v>
      </c>
      <c r="B4" s="2">
        <v>4550.41</v>
      </c>
      <c r="C4" s="2">
        <v>0.72267800000000004</v>
      </c>
      <c r="D4" s="2">
        <v>0.61409800000000003</v>
      </c>
      <c r="E4" s="2">
        <v>0.13866100000000001</v>
      </c>
      <c r="F4" s="2">
        <v>108177.13</v>
      </c>
      <c r="G4" s="2" t="s">
        <v>56</v>
      </c>
    </row>
    <row r="5" spans="1:7" x14ac:dyDescent="0.3">
      <c r="A5" s="2">
        <v>1.3</v>
      </c>
      <c r="B5" s="2">
        <v>4550.41</v>
      </c>
      <c r="C5" s="2">
        <v>0.72267800000000004</v>
      </c>
      <c r="D5" s="2">
        <v>0.61409800000000003</v>
      </c>
      <c r="E5" s="2">
        <v>0.13866100000000001</v>
      </c>
      <c r="F5" s="2">
        <v>108177.13</v>
      </c>
      <c r="G5" s="2" t="s">
        <v>56</v>
      </c>
    </row>
    <row r="6" spans="1:7" x14ac:dyDescent="0.3">
      <c r="A6" s="2">
        <v>1.4</v>
      </c>
      <c r="B6" s="2">
        <v>4550.41</v>
      </c>
      <c r="C6" s="2">
        <v>0.72267800000000004</v>
      </c>
      <c r="D6" s="2">
        <v>0.61409800000000003</v>
      </c>
      <c r="E6" s="2">
        <v>0.13866100000000001</v>
      </c>
      <c r="F6" s="2">
        <v>108177.13</v>
      </c>
      <c r="G6" s="2" t="s">
        <v>56</v>
      </c>
    </row>
    <row r="7" spans="1:7" x14ac:dyDescent="0.3">
      <c r="A7" s="2">
        <v>1.5</v>
      </c>
      <c r="B7" s="2">
        <v>4656.0200000000004</v>
      </c>
      <c r="C7" s="2">
        <v>0.61465899999999996</v>
      </c>
      <c r="D7" s="2">
        <v>0.57837499999999997</v>
      </c>
      <c r="E7" s="2">
        <v>0.19267100000000001</v>
      </c>
      <c r="F7" s="2">
        <v>114495.64</v>
      </c>
      <c r="G7" s="2" t="s">
        <v>56</v>
      </c>
    </row>
    <row r="8" spans="1:7" x14ac:dyDescent="0.3">
      <c r="A8" s="2">
        <v>1.6</v>
      </c>
      <c r="B8" s="2">
        <v>4656.0200000000004</v>
      </c>
      <c r="C8" s="2">
        <v>0.61465899999999996</v>
      </c>
      <c r="D8" s="2">
        <v>0.57837499999999997</v>
      </c>
      <c r="E8" s="2">
        <v>0.19267100000000001</v>
      </c>
      <c r="F8" s="2">
        <v>114495.64</v>
      </c>
      <c r="G8" s="2" t="s">
        <v>56</v>
      </c>
    </row>
    <row r="9" spans="1:7" x14ac:dyDescent="0.3">
      <c r="A9" s="2">
        <v>1.7</v>
      </c>
      <c r="B9" s="2">
        <v>5063.38</v>
      </c>
      <c r="C9" s="2">
        <v>0.27912700000000001</v>
      </c>
      <c r="D9" s="2">
        <v>0.45818700000000001</v>
      </c>
      <c r="E9" s="2">
        <v>0.36043599999999998</v>
      </c>
      <c r="F9" s="2">
        <v>143825.24</v>
      </c>
      <c r="G9" s="2" t="s">
        <v>56</v>
      </c>
    </row>
    <row r="10" spans="1:7" x14ac:dyDescent="0.3">
      <c r="A10" s="2">
        <v>1.8</v>
      </c>
      <c r="B10" s="2">
        <v>5063.38</v>
      </c>
      <c r="C10" s="2">
        <v>0.27912700000000001</v>
      </c>
      <c r="D10" s="2">
        <v>0.45818700000000001</v>
      </c>
      <c r="E10" s="2">
        <v>0.36043599999999998</v>
      </c>
      <c r="F10" s="2">
        <v>143825.24</v>
      </c>
      <c r="G10" s="2" t="s">
        <v>56</v>
      </c>
    </row>
    <row r="11" spans="1:7" x14ac:dyDescent="0.3">
      <c r="A11" s="2">
        <v>1.9</v>
      </c>
      <c r="B11" s="2">
        <v>5086.8599999999997</v>
      </c>
      <c r="C11" s="2">
        <v>0.26663900000000001</v>
      </c>
      <c r="D11" s="2">
        <v>0.45396700000000001</v>
      </c>
      <c r="E11" s="2">
        <v>0.36668000000000001</v>
      </c>
      <c r="F11" s="2">
        <v>145367.32</v>
      </c>
      <c r="G11" s="2" t="s">
        <v>56</v>
      </c>
    </row>
    <row r="12" spans="1:7" x14ac:dyDescent="0.3">
      <c r="A12" s="2">
        <v>2</v>
      </c>
      <c r="B12" s="2">
        <v>5086.8599999999997</v>
      </c>
      <c r="C12" s="2">
        <v>0.26663900000000001</v>
      </c>
      <c r="D12" s="2">
        <v>0.45396700000000001</v>
      </c>
      <c r="E12" s="2">
        <v>0.36668000000000001</v>
      </c>
      <c r="F12" s="2">
        <v>145367.32</v>
      </c>
      <c r="G12" s="2" t="s">
        <v>56</v>
      </c>
    </row>
    <row r="13" spans="1:7" x14ac:dyDescent="0.3">
      <c r="A13" s="2">
        <v>2.1</v>
      </c>
      <c r="B13" s="2">
        <v>5086.8599999999997</v>
      </c>
      <c r="C13" s="2">
        <v>0.26663900000000001</v>
      </c>
      <c r="D13" s="2">
        <v>0.45396700000000001</v>
      </c>
      <c r="E13" s="2">
        <v>0.36668000000000001</v>
      </c>
      <c r="F13" s="2">
        <v>145367.32</v>
      </c>
      <c r="G13" s="2" t="s">
        <v>56</v>
      </c>
    </row>
    <row r="14" spans="1:7" x14ac:dyDescent="0.3">
      <c r="A14" s="2">
        <v>2.2000000000000002</v>
      </c>
      <c r="B14" s="2">
        <v>5334.49</v>
      </c>
      <c r="C14" s="2">
        <v>0.15636900000000001</v>
      </c>
      <c r="D14" s="2">
        <v>0.41444599999999998</v>
      </c>
      <c r="E14" s="2">
        <v>0.42181600000000002</v>
      </c>
      <c r="F14" s="2">
        <v>163196.32</v>
      </c>
      <c r="G14" s="2" t="s">
        <v>56</v>
      </c>
    </row>
    <row r="15" spans="1:7" x14ac:dyDescent="0.3">
      <c r="A15" s="2">
        <v>2.2999999999999998</v>
      </c>
      <c r="B15" s="2">
        <v>5394.97</v>
      </c>
      <c r="C15" s="2">
        <v>0.12495199999999999</v>
      </c>
      <c r="D15" s="2">
        <v>0.40148600000000001</v>
      </c>
      <c r="E15" s="2">
        <v>0.43752400000000002</v>
      </c>
      <c r="F15" s="2">
        <v>168675.86</v>
      </c>
      <c r="G15" s="2" t="s">
        <v>56</v>
      </c>
    </row>
    <row r="16" spans="1:7" x14ac:dyDescent="0.3">
      <c r="A16" s="2">
        <v>2.4</v>
      </c>
      <c r="B16" s="2">
        <v>5394.97</v>
      </c>
      <c r="C16" s="2">
        <v>0.12495199999999999</v>
      </c>
      <c r="D16" s="2">
        <v>0.40148600000000001</v>
      </c>
      <c r="E16" s="2">
        <v>0.43752400000000002</v>
      </c>
      <c r="F16" s="2">
        <v>168675.86</v>
      </c>
      <c r="G16" s="2" t="s">
        <v>56</v>
      </c>
    </row>
    <row r="17" spans="1:7" x14ac:dyDescent="0.3">
      <c r="A17" s="2">
        <v>2.5</v>
      </c>
      <c r="B17" s="2">
        <v>5887.89</v>
      </c>
      <c r="C17" s="2">
        <v>-6.0144999999999997E-2</v>
      </c>
      <c r="D17" s="2">
        <v>0.332291</v>
      </c>
      <c r="E17" s="2">
        <v>0.53007300000000002</v>
      </c>
      <c r="F17" s="2">
        <v>206684.43</v>
      </c>
      <c r="G17" s="2" t="s">
        <v>56</v>
      </c>
    </row>
    <row r="18" spans="1:7" x14ac:dyDescent="0.3">
      <c r="A18" s="2">
        <v>2.6</v>
      </c>
      <c r="B18" s="2">
        <v>5887.89</v>
      </c>
      <c r="C18" s="2">
        <v>-6.0144999999999997E-2</v>
      </c>
      <c r="D18" s="2">
        <v>0.332291</v>
      </c>
      <c r="E18" s="2">
        <v>0.53007300000000002</v>
      </c>
      <c r="F18" s="2">
        <v>206684.43</v>
      </c>
      <c r="G18" s="2" t="s">
        <v>56</v>
      </c>
    </row>
    <row r="19" spans="1:7" x14ac:dyDescent="0.3">
      <c r="A19" s="2">
        <v>2.7</v>
      </c>
      <c r="B19" s="2">
        <v>5995.22</v>
      </c>
      <c r="C19" s="2">
        <v>-9.1740000000000002E-2</v>
      </c>
      <c r="D19" s="2">
        <v>0.32144</v>
      </c>
      <c r="E19" s="2">
        <v>0.54586999999999997</v>
      </c>
      <c r="F19" s="2">
        <v>214143.97</v>
      </c>
      <c r="G19" s="2" t="s">
        <v>56</v>
      </c>
    </row>
    <row r="20" spans="1:7" x14ac:dyDescent="0.3">
      <c r="A20" s="2">
        <v>2.8</v>
      </c>
      <c r="B20" s="2">
        <v>5995.22</v>
      </c>
      <c r="C20" s="2">
        <v>-9.1740000000000002E-2</v>
      </c>
      <c r="D20" s="2">
        <v>0.32144</v>
      </c>
      <c r="E20" s="2">
        <v>0.54586999999999997</v>
      </c>
      <c r="F20" s="2">
        <v>214143.97</v>
      </c>
      <c r="G20" s="2" t="s">
        <v>56</v>
      </c>
    </row>
    <row r="21" spans="1:7" x14ac:dyDescent="0.3">
      <c r="A21" s="2">
        <v>2.9</v>
      </c>
      <c r="B21" s="2">
        <v>5995.22</v>
      </c>
      <c r="C21" s="2">
        <v>-9.1740000000000002E-2</v>
      </c>
      <c r="D21" s="2">
        <v>0.32144</v>
      </c>
      <c r="E21" s="2">
        <v>0.54586999999999997</v>
      </c>
      <c r="F21" s="2">
        <v>214143.97</v>
      </c>
      <c r="G21" s="2" t="s">
        <v>56</v>
      </c>
    </row>
    <row r="22" spans="1:7" x14ac:dyDescent="0.3">
      <c r="A22" s="2">
        <v>3</v>
      </c>
      <c r="B22" s="2">
        <v>5995.22</v>
      </c>
      <c r="C22" s="2">
        <v>-9.1740000000000002E-2</v>
      </c>
      <c r="D22" s="2">
        <v>0.32144</v>
      </c>
      <c r="E22" s="2">
        <v>0.54586999999999997</v>
      </c>
      <c r="F22" s="2">
        <v>214143.97</v>
      </c>
      <c r="G22" s="2" t="s">
        <v>56</v>
      </c>
    </row>
    <row r="23" spans="1:7" x14ac:dyDescent="0.3">
      <c r="A23" s="2">
        <v>3.1</v>
      </c>
      <c r="B23" s="2">
        <v>5995.22</v>
      </c>
      <c r="C23" s="2">
        <v>-9.1740000000000002E-2</v>
      </c>
      <c r="D23" s="2">
        <v>0.32144</v>
      </c>
      <c r="E23" s="2">
        <v>0.54586999999999997</v>
      </c>
      <c r="F23" s="2">
        <v>214143.97</v>
      </c>
      <c r="G23" s="2" t="s">
        <v>56</v>
      </c>
    </row>
    <row r="24" spans="1:7" x14ac:dyDescent="0.3">
      <c r="A24" s="2">
        <v>3.2</v>
      </c>
      <c r="B24" s="2">
        <v>5995.22</v>
      </c>
      <c r="C24" s="2">
        <v>-9.1740000000000002E-2</v>
      </c>
      <c r="D24" s="2">
        <v>0.32144</v>
      </c>
      <c r="E24" s="2">
        <v>0.54586999999999997</v>
      </c>
      <c r="F24" s="2">
        <v>214143.97</v>
      </c>
      <c r="G24" s="2" t="s">
        <v>56</v>
      </c>
    </row>
    <row r="25" spans="1:7" x14ac:dyDescent="0.3">
      <c r="A25" s="2">
        <v>3.3</v>
      </c>
      <c r="B25" s="2">
        <v>5995.22</v>
      </c>
      <c r="C25" s="2">
        <v>-9.1740000000000002E-2</v>
      </c>
      <c r="D25" s="2">
        <v>0.32144</v>
      </c>
      <c r="E25" s="2">
        <v>0.54586999999999997</v>
      </c>
      <c r="F25" s="2">
        <v>214143.97</v>
      </c>
      <c r="G25" s="2" t="s">
        <v>56</v>
      </c>
    </row>
    <row r="26" spans="1:7" x14ac:dyDescent="0.3">
      <c r="A26" s="2">
        <v>3.4</v>
      </c>
      <c r="B26" s="2">
        <v>5995.22</v>
      </c>
      <c r="C26" s="2">
        <v>-9.1740000000000002E-2</v>
      </c>
      <c r="D26" s="2">
        <v>0.32144</v>
      </c>
      <c r="E26" s="2">
        <v>0.54586999999999997</v>
      </c>
      <c r="F26" s="2">
        <v>214143.97</v>
      </c>
      <c r="G26" s="2" t="s">
        <v>56</v>
      </c>
    </row>
    <row r="27" spans="1:7" x14ac:dyDescent="0.3">
      <c r="A27" s="2">
        <v>3.5</v>
      </c>
      <c r="B27" s="2">
        <v>5995.22</v>
      </c>
      <c r="C27" s="2">
        <v>-9.1740000000000002E-2</v>
      </c>
      <c r="D27" s="2">
        <v>0.32144</v>
      </c>
      <c r="E27" s="2">
        <v>0.54586999999999997</v>
      </c>
      <c r="F27" s="2">
        <v>214143.97</v>
      </c>
      <c r="G27" s="2" t="s">
        <v>56</v>
      </c>
    </row>
    <row r="28" spans="1:7" x14ac:dyDescent="0.3">
      <c r="A28" s="2">
        <v>3.6</v>
      </c>
      <c r="B28" s="2">
        <v>5995.22</v>
      </c>
      <c r="C28" s="2">
        <v>-9.1740000000000002E-2</v>
      </c>
      <c r="D28" s="2">
        <v>0.32144</v>
      </c>
      <c r="E28" s="2">
        <v>0.54586999999999997</v>
      </c>
      <c r="F28" s="2">
        <v>214143.97</v>
      </c>
      <c r="G28" s="2" t="s">
        <v>56</v>
      </c>
    </row>
    <row r="29" spans="1:7" x14ac:dyDescent="0.3">
      <c r="A29" s="2">
        <v>3.7</v>
      </c>
      <c r="B29" s="2">
        <v>5995.22</v>
      </c>
      <c r="C29" s="2">
        <v>-9.1740000000000002E-2</v>
      </c>
      <c r="D29" s="2">
        <v>0.32144</v>
      </c>
      <c r="E29" s="2">
        <v>0.54586999999999997</v>
      </c>
      <c r="F29" s="2">
        <v>214143.97</v>
      </c>
      <c r="G29" s="2" t="s">
        <v>56</v>
      </c>
    </row>
    <row r="30" spans="1:7" x14ac:dyDescent="0.3">
      <c r="A30" s="2">
        <v>3.8</v>
      </c>
      <c r="B30" s="2">
        <v>5995.22</v>
      </c>
      <c r="C30" s="2">
        <v>-9.1740000000000002E-2</v>
      </c>
      <c r="D30" s="2">
        <v>0.32144</v>
      </c>
      <c r="E30" s="2">
        <v>0.54586999999999997</v>
      </c>
      <c r="F30" s="2">
        <v>214143.97</v>
      </c>
      <c r="G30" s="2" t="s">
        <v>56</v>
      </c>
    </row>
    <row r="31" spans="1:7" x14ac:dyDescent="0.3">
      <c r="A31" s="2">
        <v>3.9</v>
      </c>
      <c r="B31" s="2">
        <v>5995.22</v>
      </c>
      <c r="C31" s="2">
        <v>-9.1740000000000002E-2</v>
      </c>
      <c r="D31" s="2">
        <v>0.32144</v>
      </c>
      <c r="E31" s="2">
        <v>0.54586999999999997</v>
      </c>
      <c r="F31" s="2">
        <v>214143.97</v>
      </c>
      <c r="G31" s="2" t="s">
        <v>56</v>
      </c>
    </row>
    <row r="32" spans="1:7" x14ac:dyDescent="0.3">
      <c r="A32" s="2">
        <v>4</v>
      </c>
      <c r="B32" s="2">
        <v>5995.22</v>
      </c>
      <c r="C32" s="2">
        <v>-9.1740000000000002E-2</v>
      </c>
      <c r="D32" s="2">
        <v>0.32144</v>
      </c>
      <c r="E32" s="2">
        <v>0.54586999999999997</v>
      </c>
      <c r="F32" s="2">
        <v>214143.97</v>
      </c>
      <c r="G32" s="2" t="s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Q1场景结果</vt:lpstr>
      <vt:lpstr>Q2结果</vt:lpstr>
      <vt:lpstr>Q3结果</vt:lpstr>
      <vt:lpstr>Q4结果</vt:lpstr>
      <vt:lpstr>Q5敏感性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润 史</cp:lastModifiedBy>
  <dcterms:created xsi:type="dcterms:W3CDTF">2026-05-23T04:52:52Z</dcterms:created>
  <dcterms:modified xsi:type="dcterms:W3CDTF">2026-05-23T11:57:20Z</dcterms:modified>
</cp:coreProperties>
</file>